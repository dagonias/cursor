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râmetros" sheetId="2" state="visible" r:id="rId2"/>
    <sheet name="Notas" sheetId="3" state="visible" r:id="rId3"/>
    <sheet name="Simulação" sheetId="4" state="visible" r:id="rId4"/>
    <sheet name="Comparativo" sheetId="5" state="visible" r:id="rId5"/>
    <sheet name="Composição 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MMM/YYYY"/>
    <numFmt numFmtId="166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344054"/>
      <sz val="10"/>
    </font>
    <font>
      <name val="Calibri"/>
      <b val="1"/>
      <color rgb="001F4E79"/>
      <sz val="12"/>
    </font>
    <font>
      <name val="Calibri"/>
      <i val="1"/>
      <color rgb="00B54708"/>
      <sz val="9"/>
    </font>
    <font>
      <name val="Calibri"/>
      <b val="1"/>
      <color rgb="00FFFFFF"/>
      <sz val="11"/>
    </font>
    <font>
      <name val="Calibri"/>
      <b val="1"/>
      <color rgb="00B54708"/>
    </font>
    <font>
      <name val="Calibri"/>
      <b val="1"/>
    </font>
    <font>
      <name val="Calibri"/>
      <i val="1"/>
      <color rgb="00344054"/>
      <sz val="9"/>
    </font>
    <font>
      <b val="1"/>
      <color rgb="001F4E79"/>
    </font>
    <font>
      <b val="1"/>
      <color rgb="00027A48"/>
    </font>
    <font>
      <b val="1"/>
      <color rgb="00B54708"/>
    </font>
    <font>
      <i val="1"/>
      <color rgb="00667085"/>
      <sz val="9"/>
    </font>
    <font>
      <i val="1"/>
      <color rgb="00B54708"/>
      <sz val="9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FFF8E7"/>
      </patternFill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ECFDF3"/>
      </patternFill>
    </fill>
    <fill>
      <patternFill patternType="solid">
        <fgColor rgb="00FEF6EE"/>
      </patternFill>
    </fill>
    <fill>
      <patternFill patternType="solid">
        <fgColor rgb="00D1FAD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4" fillId="5" borderId="1" pivotButton="0" quotePrefix="0" xfId="0"/>
    <xf numFmtId="165" fontId="0" fillId="0" borderId="1" applyAlignment="1" pivotButton="0" quotePrefix="0" xfId="0">
      <alignment horizontal="center" vertical="center" wrapText="1"/>
    </xf>
    <xf numFmtId="164" fontId="7" fillId="4" borderId="1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164" fontId="0" fillId="4" borderId="1" pivotButton="0" quotePrefix="0" xfId="0"/>
    <xf numFmtId="164" fontId="0" fillId="6" borderId="1" pivotButton="0" quotePrefix="0" xfId="0"/>
    <xf numFmtId="1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7" borderId="1" pivotButton="0" quotePrefix="0" xfId="0"/>
    <xf numFmtId="164" fontId="0" fillId="8" borderId="1" pivotButton="0" quotePrefix="0" xfId="0"/>
    <xf numFmtId="0" fontId="12" fillId="0" borderId="0" pivotButton="0" quotePrefix="0" xfId="0"/>
    <xf numFmtId="1" fontId="0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1" pivotButton="0" quotePrefix="0" xfId="0"/>
    <xf numFmtId="164" fontId="14" fillId="4" borderId="1" pivotButton="0" quotePrefix="0" xfId="0"/>
    <xf numFmtId="0" fontId="15" fillId="9" borderId="1" pivotButton="0" quotePrefix="0" xfId="0"/>
    <xf numFmtId="164" fontId="0" fillId="9" borderId="1" pivotButton="0" quotePrefix="0" xfId="0"/>
    <xf numFmtId="0" fontId="0" fillId="4" borderId="1" pivotButton="0" quotePrefix="0" xfId="0"/>
    <xf numFmtId="0" fontId="0" fillId="0" borderId="1" pivotButton="0" quotePrefix="0" xfId="0"/>
    <xf numFmtId="164" fontId="14" fillId="0" borderId="0" pivotButton="0" quotePrefix="0" xfId="0"/>
    <xf numFmtId="165" fontId="0" fillId="2" borderId="1" pivotButton="0" quotePrefix="0" xfId="0"/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Controle tributário familiar — Simples Nacional / Fator R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Aba Parâmetros: confira alíquotas, CLT, dependentes e os 3 cenários de pró-labore.</t>
        </is>
      </c>
    </row>
    <row r="5">
      <c r="A5" s="2" t="inlineStr">
        <is>
          <t>2. Aba Notas: preencha o NOME de cada empresa (linha amarela) e o VALOR da nota mês a mês.</t>
        </is>
      </c>
    </row>
    <row r="6">
      <c r="A6" s="2" t="inlineStr">
        <is>
          <t>3. Aba Simulação: calcula automaticamente receita, Fator R (12 meses), anexo, DAS, INSS, IRRF, lucro isento e líquido familiar.</t>
        </is>
      </c>
    </row>
    <row r="7">
      <c r="A7" s="2" t="inlineStr">
        <is>
          <t>4. Aba Comparativo: resume o ano e mostra qual cenário fica mais barato.</t>
        </is>
      </c>
    </row>
    <row r="8">
      <c r="A8" s="2" t="inlineStr"/>
    </row>
    <row r="9">
      <c r="A9" s="3" t="inlineStr">
        <is>
          <t>Cores</t>
        </is>
      </c>
    </row>
    <row r="10">
      <c r="A10" s="2" t="inlineStr">
        <is>
          <t>Amarelo = campo editável (você preenche).</t>
        </is>
      </c>
    </row>
    <row r="11">
      <c r="A11" s="2" t="inlineStr">
        <is>
          <t>Cinza = campo calculado (não editar).</t>
        </is>
      </c>
    </row>
    <row r="12">
      <c r="A12" s="2" t="inlineStr">
        <is>
          <t>Verde = Anexo III (Fator R ≥ 28%).</t>
        </is>
      </c>
    </row>
    <row r="13">
      <c r="A13" s="2" t="inlineStr">
        <is>
          <t>Vermelho claro = Anexo V (Fator R &lt; 28%).</t>
        </is>
      </c>
    </row>
    <row r="14">
      <c r="A14" s="2" t="inlineStr"/>
    </row>
    <row r="15">
      <c r="A15" s="3" t="inlineStr">
        <is>
          <t>Cenários de pró-labore</t>
        </is>
      </c>
    </row>
    <row r="16">
      <c r="A16" s="2" t="inlineStr">
        <is>
          <t>C1 — Atual: mantém o pró-labore fixo informado (hoje R$ 4.400).</t>
        </is>
      </c>
    </row>
    <row r="17">
      <c r="A17" s="2" t="inlineStr">
        <is>
          <t>C2 — Automático Fator R: sobe o pró-labore o mínimo necessário para manter ≥ 28%.</t>
        </is>
      </c>
    </row>
    <row r="18">
      <c r="A18" s="2" t="inlineStr">
        <is>
          <t>C3 — Manual: você define um valor fixo alternativo (ex.: R$ 7.300).</t>
        </is>
      </c>
    </row>
    <row r="19">
      <c r="A19" s="2" t="inlineStr"/>
    </row>
    <row r="20">
      <c r="A20" s="3" t="inlineStr">
        <is>
          <t>C2 — Automático Fator R: a partir do mês em Parâmetros!B23, sobe o pró-labore o mínimo para manter ≥ 28%. Meses anteriores usam o pró-labore atual (histórico).</t>
        </is>
      </c>
    </row>
    <row r="21">
      <c r="A21" s="2" t="inlineStr">
        <is>
          <t>• O Fator R usa folha e receita bruta dos ÚLTIMOS 12 MESES (não só o mês corrente).</t>
        </is>
      </c>
    </row>
    <row r="22">
      <c r="A22" s="2" t="inlineStr">
        <is>
          <t>• Preencha os meses anteriores (histórico) para o Fator R ficar correto desde setembro.</t>
        </is>
      </c>
    </row>
    <row r="23">
      <c r="A23" s="2" t="inlineStr">
        <is>
          <t>• IRRF usa a tabela mensal 2026 + redução da Lei 15.270/2025 (estimativa).</t>
        </is>
      </c>
    </row>
    <row r="24">
      <c r="A24" s="2" t="inlineStr">
        <is>
          <t>• Lucro isento é uma estimativa simplificada: Receita − DAS − Pró-labore (sem outras despesas).</t>
        </is>
      </c>
    </row>
    <row r="25">
      <c r="A25" s="2" t="inlineStr">
        <is>
          <t>• Isso NÃO substitui o contador / PGDAS-D oficial. Use para planejamento.</t>
        </is>
      </c>
    </row>
    <row r="26">
      <c r="A26" s="2" t="inlineStr">
        <is>
          <t>• Brasília (DF): ISS está embutido no DAS do Simples neste modelo (como no seu documento).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8" customWidth="1" min="3" max="3"/>
  </cols>
  <sheetData>
    <row r="1">
      <c r="A1" s="1" t="inlineStr">
        <is>
          <t>Parâmetros editáveis</t>
        </is>
      </c>
    </row>
    <row r="3">
      <c r="A3" s="3" t="inlineStr">
        <is>
          <t>EMPRESA / REGIME</t>
        </is>
      </c>
    </row>
    <row r="4">
      <c r="A4" s="2" t="inlineStr">
        <is>
          <t>Alíquota Anexo III (Fator R ≥ 28%)</t>
        </is>
      </c>
      <c r="B4" s="4" t="n">
        <v>0.06</v>
      </c>
      <c r="C4" s="5" t="inlineStr">
        <is>
          <t>← amarelo = editável</t>
        </is>
      </c>
    </row>
    <row r="5">
      <c r="A5" s="2" t="inlineStr">
        <is>
          <t>Alíquota Anexo V (Fator R &lt; 28%)</t>
        </is>
      </c>
      <c r="B5" s="4" t="n">
        <v>0.155</v>
      </c>
    </row>
    <row r="6">
      <c r="A6" s="2" t="inlineStr">
        <is>
          <t>Meta Fator R</t>
        </is>
      </c>
      <c r="B6" s="4" t="n">
        <v>0.28</v>
      </c>
    </row>
    <row r="7">
      <c r="A7" s="2" t="inlineStr">
        <is>
          <t>INSS pró-labore (%)</t>
        </is>
      </c>
      <c r="B7" s="4" t="n">
        <v>0.11</v>
      </c>
    </row>
    <row r="8">
      <c r="A8" t="inlineStr">
        <is>
          <t>Teto INSS 2026</t>
        </is>
      </c>
      <c r="B8" s="6" t="n">
        <v>8157.41</v>
      </c>
    </row>
    <row r="9">
      <c r="A9" s="2" t="inlineStr">
        <is>
          <t>Desconto simplificado IRRF mensal</t>
        </is>
      </c>
      <c r="B9" s="6" t="n">
        <v>607.2</v>
      </c>
    </row>
    <row r="10">
      <c r="A10" s="2" t="inlineStr">
        <is>
          <t>Dedução por dependente (mensal)</t>
        </is>
      </c>
      <c r="B10" s="6" t="n">
        <v>189.59</v>
      </c>
    </row>
    <row r="12">
      <c r="A12" s="2" t="inlineStr">
        <is>
          <t>PESSOA FÍSICA / FAMÍLIA</t>
        </is>
      </c>
      <c r="B12" s="7" t="n"/>
    </row>
    <row r="13">
      <c r="A13" s="2" t="inlineStr">
        <is>
          <t>CLT bruto mensal (você)</t>
        </is>
      </c>
      <c r="B13" s="6" t="n">
        <v>10000</v>
      </c>
    </row>
    <row r="14">
      <c r="A14" s="2" t="inlineStr">
        <is>
          <t>Nº dependentes (filhos)</t>
        </is>
      </c>
      <c r="B14" s="7" t="n">
        <v>2</v>
      </c>
    </row>
    <row r="15">
      <c r="A15" s="2" t="inlineStr">
        <is>
          <t>Dependentes alocados no CLT? (1=sim, 0=não)</t>
        </is>
      </c>
      <c r="B15" s="7" t="n">
        <v>1</v>
      </c>
    </row>
    <row r="16">
      <c r="A16" s="2" t="inlineStr">
        <is>
          <t>Meses de CLT em 2026 (ex.: 5 se começou em ago)</t>
        </is>
      </c>
      <c r="B16" s="7" t="n">
        <v>5</v>
      </c>
    </row>
    <row r="18">
      <c r="A18" s="3" t="inlineStr">
        <is>
          <t>CENÁRIOS DE PRÓ-LABORE</t>
        </is>
      </c>
    </row>
    <row r="19">
      <c r="A19" t="inlineStr">
        <is>
          <t>C1 — Pró-labore fixo atual</t>
        </is>
      </c>
      <c r="B19" t="n">
        <v>4400</v>
      </c>
    </row>
    <row r="20">
      <c r="A20" t="inlineStr">
        <is>
          <t>C2 — Modo (deixar AUTOMATICO)</t>
        </is>
      </c>
      <c r="B20" s="7" t="inlineStr">
        <is>
          <t>AUTOMATICO</t>
        </is>
      </c>
    </row>
    <row r="21">
      <c r="A21" t="inlineStr">
        <is>
          <t>C3 — Pró-labore fixo alternativo</t>
        </is>
      </c>
      <c r="B21" t="n">
        <v>7300</v>
      </c>
    </row>
    <row r="22">
      <c r="A22" t="inlineStr">
        <is>
          <t>Pró-labore mínimo (piso, ex. salário mínimo)</t>
        </is>
      </c>
      <c r="B22" t="n">
        <v>1518</v>
      </c>
    </row>
    <row r="23">
      <c r="A23" s="2" t="inlineStr">
        <is>
          <t>C2 — Início do ajuste automático (mês)</t>
        </is>
      </c>
      <c r="B23" s="34" t="n">
        <v>46266</v>
      </c>
      <c r="C23" s="5" t="inlineStr">
        <is>
          <t>Antes disso, C2 usa o pró-labore atual (histórico real)</t>
        </is>
      </c>
    </row>
    <row r="24">
      <c r="A24" s="3" t="inlineStr">
        <is>
          <t>TABELA IRRF 2026 (referência — usada nas fórmulas)</t>
        </is>
      </c>
    </row>
    <row r="25">
      <c r="A25" s="2" t="inlineStr">
        <is>
          <t>Faixa 1 teto (isento)</t>
        </is>
      </c>
      <c r="B25" s="6" t="n">
        <v>2428.8</v>
      </c>
    </row>
    <row r="26">
      <c r="A26" s="2" t="inlineStr">
        <is>
          <t>Faixa 2 teto</t>
        </is>
      </c>
      <c r="B26" s="6" t="n">
        <v>2826.65</v>
      </c>
    </row>
    <row r="27">
      <c r="A27" s="2" t="inlineStr">
        <is>
          <t>Faixa 3 teto</t>
        </is>
      </c>
      <c r="B27" s="6" t="n">
        <v>3751.05</v>
      </c>
    </row>
    <row r="28">
      <c r="A28" s="2" t="inlineStr">
        <is>
          <t>Faixa 4 teto</t>
        </is>
      </c>
      <c r="B28" s="6" t="n">
        <v>4664.68</v>
      </c>
    </row>
    <row r="29">
      <c r="A29" s="2" t="inlineStr">
        <is>
          <t>Deduzir faixa 2 (7,5%)</t>
        </is>
      </c>
      <c r="B29" s="7" t="n">
        <v>182.16</v>
      </c>
    </row>
    <row r="30">
      <c r="A30" s="2" t="inlineStr">
        <is>
          <t>Deduzir faixa 3 (15%)</t>
        </is>
      </c>
      <c r="B30" s="7" t="n">
        <v>394.16</v>
      </c>
    </row>
    <row r="31">
      <c r="A31" s="2" t="inlineStr">
        <is>
          <t>Deduzir faixa 4 (22,5%)</t>
        </is>
      </c>
      <c r="B31" s="7" t="n">
        <v>675.49</v>
      </c>
    </row>
    <row r="32">
      <c r="A32" s="2" t="inlineStr">
        <is>
          <t>Deduzir faixa 5 (27,5%)</t>
        </is>
      </c>
      <c r="B32" s="7" t="n">
        <v>908.73</v>
      </c>
    </row>
    <row r="33">
      <c r="A33" s="2" t="inlineStr">
        <is>
          <t>Redução: isenção até</t>
        </is>
      </c>
      <c r="B33" s="6" t="n">
        <v>5000</v>
      </c>
    </row>
    <row r="34">
      <c r="A34" s="2" t="inlineStr">
        <is>
          <t>Redução: teto parcial</t>
        </is>
      </c>
      <c r="B34" s="6" t="n">
        <v>7350</v>
      </c>
    </row>
    <row r="35">
      <c r="A35" s="2" t="inlineStr">
        <is>
          <t>Redução: constante</t>
        </is>
      </c>
      <c r="B35" s="6" t="n">
        <v>978.62</v>
      </c>
    </row>
    <row r="36">
      <c r="A36" s="2" t="inlineStr">
        <is>
          <t>Redução: coeficiente</t>
        </is>
      </c>
      <c r="B36" s="7" t="n">
        <v>0.133145</v>
      </c>
    </row>
    <row r="38">
      <c r="A38" s="3" t="inlineStr">
        <is>
          <t>Named ranges usados pela Simulação:</t>
        </is>
      </c>
    </row>
    <row r="39">
      <c r="A39" s="2" t="inlineStr">
        <is>
          <t>Os valores desta aba alimentam as fórmulas das outras abas. Não renomeie as células B4:B22.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Notas fiscais por empresa (preencha os nomes e valores)</t>
        </is>
      </c>
    </row>
    <row r="2">
      <c r="A2" s="2" t="inlineStr">
        <is>
          <t>Campos amarelos são editáveis. O total mensal alimenta a aba Simulação e o Fator R.</t>
        </is>
      </c>
    </row>
    <row r="3">
      <c r="A3" s="14" t="inlineStr">
        <is>
          <t>Preencha os nomes na linha 5 (amarelo). Cada coluna é uma empresa contratante; some até 5. Se a nota for menor, só altere o valor do mês.</t>
        </is>
      </c>
    </row>
    <row r="4">
      <c r="A4" s="8" t="inlineStr">
        <is>
          <t>Mês</t>
        </is>
      </c>
      <c r="B4" s="8" t="inlineStr">
        <is>
          <t>Empresa 1</t>
        </is>
      </c>
      <c r="C4" s="8" t="inlineStr">
        <is>
          <t>Empresa 2</t>
        </is>
      </c>
      <c r="D4" s="8" t="inlineStr">
        <is>
          <t>Empresa 3</t>
        </is>
      </c>
      <c r="E4" s="8" t="inlineStr">
        <is>
          <t>Empresa 4</t>
        </is>
      </c>
      <c r="F4" s="8" t="inlineStr">
        <is>
          <t>Empresa 5</t>
        </is>
      </c>
      <c r="G4" s="8" t="inlineStr">
        <is>
          <t>Total do mês</t>
        </is>
      </c>
    </row>
    <row r="5">
      <c r="A5" s="9" t="inlineStr">
        <is>
          <t>Nome da empresa →</t>
        </is>
      </c>
      <c r="B5" s="10" t="inlineStr">
        <is>
          <t>Contrato atual (editar)</t>
        </is>
      </c>
      <c r="C5" s="10" t="inlineStr">
        <is>
          <t>Contrato novo (editar)</t>
        </is>
      </c>
      <c r="D5" s="10" t="inlineStr"/>
      <c r="E5" s="10" t="inlineStr"/>
      <c r="F5" s="10" t="inlineStr"/>
      <c r="G5" s="11" t="inlineStr">
        <is>
          <t>← digite os nomes aqui</t>
        </is>
      </c>
    </row>
    <row r="6">
      <c r="A6" s="35" t="n">
        <v>45658</v>
      </c>
      <c r="B6" s="6" t="n">
        <v>15500</v>
      </c>
      <c r="C6" s="6" t="n">
        <v>0</v>
      </c>
      <c r="D6" s="6" t="n">
        <v>0</v>
      </c>
      <c r="E6" s="6" t="n">
        <v>0</v>
      </c>
      <c r="F6" s="6" t="n">
        <v>0</v>
      </c>
      <c r="G6" s="13">
        <f>SUM(B6:F6)</f>
        <v/>
      </c>
    </row>
    <row r="7">
      <c r="A7" s="35" t="n">
        <v>45689</v>
      </c>
      <c r="B7" s="6" t="n">
        <v>15500</v>
      </c>
      <c r="C7" s="6" t="n">
        <v>0</v>
      </c>
      <c r="D7" s="6" t="n">
        <v>0</v>
      </c>
      <c r="E7" s="6" t="n">
        <v>0</v>
      </c>
      <c r="F7" s="6" t="n">
        <v>0</v>
      </c>
      <c r="G7" s="13">
        <f>SUM(B7:F7)</f>
        <v/>
      </c>
    </row>
    <row r="8">
      <c r="A8" s="35" t="n">
        <v>45717</v>
      </c>
      <c r="B8" s="6" t="n">
        <v>15500</v>
      </c>
      <c r="C8" s="6" t="n">
        <v>0</v>
      </c>
      <c r="D8" s="6" t="n">
        <v>0</v>
      </c>
      <c r="E8" s="6" t="n">
        <v>0</v>
      </c>
      <c r="F8" s="6" t="n">
        <v>0</v>
      </c>
      <c r="G8" s="13">
        <f>SUM(B8:F8)</f>
        <v/>
      </c>
    </row>
    <row r="9">
      <c r="A9" s="35" t="n">
        <v>45748</v>
      </c>
      <c r="B9" s="6" t="n">
        <v>15500</v>
      </c>
      <c r="C9" s="6" t="n">
        <v>0</v>
      </c>
      <c r="D9" s="6" t="n">
        <v>0</v>
      </c>
      <c r="E9" s="6" t="n">
        <v>0</v>
      </c>
      <c r="F9" s="6" t="n">
        <v>0</v>
      </c>
      <c r="G9" s="13">
        <f>SUM(B9:F9)</f>
        <v/>
      </c>
    </row>
    <row r="10">
      <c r="A10" s="35" t="n">
        <v>45778</v>
      </c>
      <c r="B10" s="6" t="n">
        <v>15500</v>
      </c>
      <c r="C10" s="6" t="n">
        <v>0</v>
      </c>
      <c r="D10" s="6" t="n">
        <v>0</v>
      </c>
      <c r="E10" s="6" t="n">
        <v>0</v>
      </c>
      <c r="F10" s="6" t="n">
        <v>0</v>
      </c>
      <c r="G10" s="13">
        <f>SUM(B10:F10)</f>
        <v/>
      </c>
    </row>
    <row r="11">
      <c r="A11" s="35" t="n">
        <v>45809</v>
      </c>
      <c r="B11" s="6" t="n">
        <v>15500</v>
      </c>
      <c r="C11" s="6" t="n">
        <v>0</v>
      </c>
      <c r="D11" s="6" t="n">
        <v>0</v>
      </c>
      <c r="E11" s="6" t="n">
        <v>0</v>
      </c>
      <c r="F11" s="6" t="n">
        <v>0</v>
      </c>
      <c r="G11" s="13">
        <f>SUM(B11:F11)</f>
        <v/>
      </c>
    </row>
    <row r="12">
      <c r="A12" s="35" t="n">
        <v>45839</v>
      </c>
      <c r="B12" s="6" t="n">
        <v>15500</v>
      </c>
      <c r="C12" s="6" t="n">
        <v>0</v>
      </c>
      <c r="D12" s="6" t="n">
        <v>0</v>
      </c>
      <c r="E12" s="6" t="n">
        <v>0</v>
      </c>
      <c r="F12" s="6" t="n">
        <v>0</v>
      </c>
      <c r="G12" s="13">
        <f>SUM(B12:F12)</f>
        <v/>
      </c>
    </row>
    <row r="13">
      <c r="A13" s="35" t="n">
        <v>45870</v>
      </c>
      <c r="B13" s="6" t="n">
        <v>15500</v>
      </c>
      <c r="C13" s="6" t="n">
        <v>0</v>
      </c>
      <c r="D13" s="6" t="n">
        <v>0</v>
      </c>
      <c r="E13" s="6" t="n">
        <v>0</v>
      </c>
      <c r="F13" s="6" t="n">
        <v>0</v>
      </c>
      <c r="G13" s="13">
        <f>SUM(B13:F13)</f>
        <v/>
      </c>
    </row>
    <row r="14">
      <c r="A14" s="35" t="n">
        <v>45901</v>
      </c>
      <c r="B14" s="6" t="n">
        <v>15500</v>
      </c>
      <c r="C14" s="6" t="n">
        <v>0</v>
      </c>
      <c r="D14" s="6" t="n">
        <v>0</v>
      </c>
      <c r="E14" s="6" t="n">
        <v>0</v>
      </c>
      <c r="F14" s="6" t="n">
        <v>0</v>
      </c>
      <c r="G14" s="13">
        <f>SUM(B14:F14)</f>
        <v/>
      </c>
    </row>
    <row r="15">
      <c r="A15" s="35" t="n">
        <v>45931</v>
      </c>
      <c r="B15" s="6" t="n">
        <v>15500</v>
      </c>
      <c r="C15" s="6" t="n">
        <v>0</v>
      </c>
      <c r="D15" s="6" t="n">
        <v>0</v>
      </c>
      <c r="E15" s="6" t="n">
        <v>0</v>
      </c>
      <c r="F15" s="6" t="n">
        <v>0</v>
      </c>
      <c r="G15" s="13">
        <f>SUM(B15:F15)</f>
        <v/>
      </c>
    </row>
    <row r="16">
      <c r="A16" s="35" t="n">
        <v>45962</v>
      </c>
      <c r="B16" s="6" t="n">
        <v>15500</v>
      </c>
      <c r="C16" s="6" t="n">
        <v>0</v>
      </c>
      <c r="D16" s="6" t="n">
        <v>0</v>
      </c>
      <c r="E16" s="6" t="n">
        <v>0</v>
      </c>
      <c r="F16" s="6" t="n">
        <v>0</v>
      </c>
      <c r="G16" s="13">
        <f>SUM(B16:F16)</f>
        <v/>
      </c>
    </row>
    <row r="17">
      <c r="A17" s="35" t="n">
        <v>45992</v>
      </c>
      <c r="B17" s="6" t="n">
        <v>15500</v>
      </c>
      <c r="C17" s="6" t="n">
        <v>0</v>
      </c>
      <c r="D17" s="6" t="n">
        <v>0</v>
      </c>
      <c r="E17" s="6" t="n">
        <v>0</v>
      </c>
      <c r="F17" s="6" t="n">
        <v>0</v>
      </c>
      <c r="G17" s="13">
        <f>SUM(B17:F17)</f>
        <v/>
      </c>
    </row>
    <row r="18">
      <c r="A18" s="35" t="n">
        <v>46023</v>
      </c>
      <c r="B18" s="6" t="n">
        <v>15500</v>
      </c>
      <c r="C18" s="6" t="n">
        <v>0</v>
      </c>
      <c r="D18" s="6" t="n">
        <v>0</v>
      </c>
      <c r="E18" s="6" t="n">
        <v>0</v>
      </c>
      <c r="F18" s="6" t="n">
        <v>0</v>
      </c>
      <c r="G18" s="13">
        <f>SUM(B18:F18)</f>
        <v/>
      </c>
    </row>
    <row r="19">
      <c r="A19" s="35" t="n">
        <v>46054</v>
      </c>
      <c r="B19" s="6" t="n">
        <v>15500</v>
      </c>
      <c r="C19" s="6" t="n">
        <v>0</v>
      </c>
      <c r="D19" s="6" t="n">
        <v>0</v>
      </c>
      <c r="E19" s="6" t="n">
        <v>0</v>
      </c>
      <c r="F19" s="6" t="n">
        <v>0</v>
      </c>
      <c r="G19" s="13">
        <f>SUM(B19:F19)</f>
        <v/>
      </c>
    </row>
    <row r="20">
      <c r="A20" s="35" t="n">
        <v>46082</v>
      </c>
      <c r="B20" s="6" t="n">
        <v>15500</v>
      </c>
      <c r="C20" s="6" t="n">
        <v>0</v>
      </c>
      <c r="D20" s="6" t="n">
        <v>0</v>
      </c>
      <c r="E20" s="6" t="n">
        <v>0</v>
      </c>
      <c r="F20" s="6" t="n">
        <v>0</v>
      </c>
      <c r="G20" s="13">
        <f>SUM(B20:F20)</f>
        <v/>
      </c>
    </row>
    <row r="21">
      <c r="A21" s="35" t="n">
        <v>46113</v>
      </c>
      <c r="B21" s="6" t="n">
        <v>15500</v>
      </c>
      <c r="C21" s="6" t="n">
        <v>0</v>
      </c>
      <c r="D21" s="6" t="n">
        <v>0</v>
      </c>
      <c r="E21" s="6" t="n">
        <v>0</v>
      </c>
      <c r="F21" s="6" t="n">
        <v>0</v>
      </c>
      <c r="G21" s="13">
        <f>SUM(B21:F21)</f>
        <v/>
      </c>
    </row>
    <row r="22">
      <c r="A22" s="35" t="n">
        <v>46143</v>
      </c>
      <c r="B22" s="6" t="n">
        <v>15500</v>
      </c>
      <c r="C22" s="6" t="n">
        <v>0</v>
      </c>
      <c r="D22" s="6" t="n">
        <v>0</v>
      </c>
      <c r="E22" s="6" t="n">
        <v>0</v>
      </c>
      <c r="F22" s="6" t="n">
        <v>0</v>
      </c>
      <c r="G22" s="13">
        <f>SUM(B22:F22)</f>
        <v/>
      </c>
    </row>
    <row r="23">
      <c r="A23" s="35" t="n">
        <v>46174</v>
      </c>
      <c r="B23" s="6" t="n">
        <v>15500</v>
      </c>
      <c r="C23" s="6" t="n">
        <v>0</v>
      </c>
      <c r="D23" s="6" t="n">
        <v>0</v>
      </c>
      <c r="E23" s="6" t="n">
        <v>0</v>
      </c>
      <c r="F23" s="6" t="n">
        <v>0</v>
      </c>
      <c r="G23" s="13">
        <f>SUM(B23:F23)</f>
        <v/>
      </c>
    </row>
    <row r="24">
      <c r="A24" s="35" t="n">
        <v>46204</v>
      </c>
      <c r="B24" s="6" t="n">
        <v>15500</v>
      </c>
      <c r="C24" s="6" t="n">
        <v>0</v>
      </c>
      <c r="D24" s="6" t="n">
        <v>0</v>
      </c>
      <c r="E24" s="6" t="n">
        <v>0</v>
      </c>
      <c r="F24" s="6" t="n">
        <v>0</v>
      </c>
      <c r="G24" s="13">
        <f>SUM(B24:F24)</f>
        <v/>
      </c>
    </row>
    <row r="25">
      <c r="A25" s="35" t="n">
        <v>46235</v>
      </c>
      <c r="B25" s="6" t="n">
        <v>15500</v>
      </c>
      <c r="C25" s="6" t="n">
        <v>0</v>
      </c>
      <c r="D25" s="6" t="n">
        <v>0</v>
      </c>
      <c r="E25" s="6" t="n">
        <v>0</v>
      </c>
      <c r="F25" s="6" t="n">
        <v>0</v>
      </c>
      <c r="G25" s="13">
        <f>SUM(B25:F25)</f>
        <v/>
      </c>
    </row>
    <row r="26">
      <c r="A26" s="35" t="n">
        <v>46266</v>
      </c>
      <c r="B26" s="6" t="n">
        <v>15500</v>
      </c>
      <c r="C26" s="6" t="n">
        <v>10500</v>
      </c>
      <c r="D26" s="6" t="n">
        <v>0</v>
      </c>
      <c r="E26" s="6" t="n">
        <v>0</v>
      </c>
      <c r="F26" s="6" t="n">
        <v>0</v>
      </c>
      <c r="G26" s="13">
        <f>SUM(B26:F26)</f>
        <v/>
      </c>
    </row>
    <row r="27">
      <c r="A27" s="35" t="n">
        <v>46296</v>
      </c>
      <c r="B27" s="6" t="n">
        <v>15500</v>
      </c>
      <c r="C27" s="6" t="n">
        <v>10500</v>
      </c>
      <c r="D27" s="6" t="n">
        <v>0</v>
      </c>
      <c r="E27" s="6" t="n">
        <v>0</v>
      </c>
      <c r="F27" s="6" t="n">
        <v>0</v>
      </c>
      <c r="G27" s="13">
        <f>SUM(B27:F27)</f>
        <v/>
      </c>
    </row>
    <row r="28">
      <c r="A28" s="35" t="n">
        <v>46327</v>
      </c>
      <c r="B28" s="6" t="n">
        <v>15500</v>
      </c>
      <c r="C28" s="6" t="n">
        <v>10500</v>
      </c>
      <c r="D28" s="6" t="n">
        <v>0</v>
      </c>
      <c r="E28" s="6" t="n">
        <v>0</v>
      </c>
      <c r="F28" s="6" t="n">
        <v>0</v>
      </c>
      <c r="G28" s="13">
        <f>SUM(B28:F28)</f>
        <v/>
      </c>
    </row>
    <row r="29">
      <c r="A29" s="35" t="n">
        <v>46357</v>
      </c>
      <c r="B29" s="6" t="n">
        <v>15500</v>
      </c>
      <c r="C29" s="6" t="n">
        <v>10500</v>
      </c>
      <c r="D29" s="6" t="n">
        <v>0</v>
      </c>
      <c r="E29" s="6" t="n">
        <v>0</v>
      </c>
      <c r="F29" s="6" t="n">
        <v>0</v>
      </c>
      <c r="G29" s="13">
        <f>SUM(B29:F29)</f>
        <v/>
      </c>
    </row>
    <row r="30">
      <c r="A30" s="35" t="n">
        <v>46388</v>
      </c>
      <c r="B30" s="6" t="n">
        <v>15500</v>
      </c>
      <c r="C30" s="6" t="n">
        <v>10500</v>
      </c>
      <c r="D30" s="6" t="n">
        <v>0</v>
      </c>
      <c r="E30" s="6" t="n">
        <v>0</v>
      </c>
      <c r="F30" s="6" t="n">
        <v>0</v>
      </c>
      <c r="G30" s="13">
        <f>SUM(B30:F30)</f>
        <v/>
      </c>
    </row>
    <row r="31">
      <c r="A31" s="35" t="n">
        <v>46419</v>
      </c>
      <c r="B31" s="6" t="n">
        <v>15500</v>
      </c>
      <c r="C31" s="6" t="n">
        <v>10500</v>
      </c>
      <c r="D31" s="6" t="n">
        <v>0</v>
      </c>
      <c r="E31" s="6" t="n">
        <v>0</v>
      </c>
      <c r="F31" s="6" t="n">
        <v>0</v>
      </c>
      <c r="G31" s="13">
        <f>SUM(B31:F31)</f>
        <v/>
      </c>
    </row>
    <row r="32">
      <c r="A32" s="35" t="n">
        <v>46447</v>
      </c>
      <c r="B32" s="6" t="n">
        <v>15500</v>
      </c>
      <c r="C32" s="6" t="n">
        <v>10500</v>
      </c>
      <c r="D32" s="6" t="n">
        <v>0</v>
      </c>
      <c r="E32" s="6" t="n">
        <v>0</v>
      </c>
      <c r="F32" s="6" t="n">
        <v>0</v>
      </c>
      <c r="G32" s="13">
        <f>SUM(B32:F32)</f>
        <v/>
      </c>
    </row>
    <row r="33">
      <c r="A33" s="35" t="n">
        <v>46478</v>
      </c>
      <c r="B33" s="6" t="n">
        <v>15500</v>
      </c>
      <c r="C33" s="6" t="n">
        <v>10500</v>
      </c>
      <c r="D33" s="6" t="n">
        <v>0</v>
      </c>
      <c r="E33" s="6" t="n">
        <v>0</v>
      </c>
      <c r="F33" s="6" t="n">
        <v>0</v>
      </c>
      <c r="G33" s="13">
        <f>SUM(B33:F33)</f>
        <v/>
      </c>
    </row>
    <row r="34">
      <c r="A34" s="35" t="n">
        <v>46508</v>
      </c>
      <c r="B34" s="6" t="n">
        <v>15500</v>
      </c>
      <c r="C34" s="6" t="n">
        <v>10500</v>
      </c>
      <c r="D34" s="6" t="n">
        <v>0</v>
      </c>
      <c r="E34" s="6" t="n">
        <v>0</v>
      </c>
      <c r="F34" s="6" t="n">
        <v>0</v>
      </c>
      <c r="G34" s="13">
        <f>SUM(B34:F34)</f>
        <v/>
      </c>
    </row>
    <row r="35">
      <c r="A35" s="35" t="n">
        <v>46539</v>
      </c>
      <c r="B35" s="6" t="n">
        <v>15500</v>
      </c>
      <c r="C35" s="6" t="n">
        <v>10500</v>
      </c>
      <c r="D35" s="6" t="n">
        <v>0</v>
      </c>
      <c r="E35" s="6" t="n">
        <v>0</v>
      </c>
      <c r="F35" s="6" t="n">
        <v>0</v>
      </c>
      <c r="G35" s="13">
        <f>SUM(B35:F35)</f>
        <v/>
      </c>
    </row>
    <row r="36">
      <c r="A36" s="35" t="n">
        <v>46569</v>
      </c>
      <c r="B36" s="6" t="n">
        <v>15500</v>
      </c>
      <c r="C36" s="6" t="n">
        <v>10500</v>
      </c>
      <c r="D36" s="6" t="n">
        <v>0</v>
      </c>
      <c r="E36" s="6" t="n">
        <v>0</v>
      </c>
      <c r="F36" s="6" t="n">
        <v>0</v>
      </c>
      <c r="G36" s="13">
        <f>SUM(B36:F36)</f>
        <v/>
      </c>
    </row>
    <row r="37">
      <c r="A37" s="35" t="n">
        <v>46600</v>
      </c>
      <c r="B37" s="6" t="n">
        <v>15500</v>
      </c>
      <c r="C37" s="6" t="n">
        <v>10500</v>
      </c>
      <c r="D37" s="6" t="n">
        <v>0</v>
      </c>
      <c r="E37" s="6" t="n">
        <v>0</v>
      </c>
      <c r="F37" s="6" t="n">
        <v>0</v>
      </c>
      <c r="G37" s="13">
        <f>SUM(B37:F37)</f>
        <v/>
      </c>
    </row>
    <row r="38">
      <c r="A38" s="35" t="n">
        <v>46631</v>
      </c>
      <c r="B38" s="6" t="n">
        <v>15500</v>
      </c>
      <c r="C38" s="6" t="n">
        <v>10500</v>
      </c>
      <c r="D38" s="6" t="n">
        <v>0</v>
      </c>
      <c r="E38" s="6" t="n">
        <v>0</v>
      </c>
      <c r="F38" s="6" t="n">
        <v>0</v>
      </c>
      <c r="G38" s="13">
        <f>SUM(B38:F38)</f>
        <v/>
      </c>
    </row>
    <row r="39">
      <c r="A39" s="35" t="n">
        <v>46661</v>
      </c>
      <c r="B39" s="6" t="n">
        <v>15500</v>
      </c>
      <c r="C39" s="6" t="n">
        <v>10500</v>
      </c>
      <c r="D39" s="6" t="n">
        <v>0</v>
      </c>
      <c r="E39" s="6" t="n">
        <v>0</v>
      </c>
      <c r="F39" s="6" t="n">
        <v>0</v>
      </c>
      <c r="G39" s="13">
        <f>SUM(B39:F39)</f>
        <v/>
      </c>
    </row>
    <row r="40">
      <c r="A40" s="35" t="n">
        <v>46692</v>
      </c>
      <c r="B40" s="6" t="n">
        <v>15500</v>
      </c>
      <c r="C40" s="6" t="n">
        <v>10500</v>
      </c>
      <c r="D40" s="6" t="n">
        <v>0</v>
      </c>
      <c r="E40" s="6" t="n">
        <v>0</v>
      </c>
      <c r="F40" s="6" t="n">
        <v>0</v>
      </c>
      <c r="G40" s="13">
        <f>SUM(B40:F40)</f>
        <v/>
      </c>
    </row>
    <row r="41">
      <c r="A41" s="35" t="n">
        <v>46722</v>
      </c>
      <c r="B41" s="6" t="n">
        <v>15500</v>
      </c>
      <c r="C41" s="6" t="n">
        <v>10500</v>
      </c>
      <c r="D41" s="6" t="n">
        <v>0</v>
      </c>
      <c r="E41" s="6" t="n">
        <v>0</v>
      </c>
      <c r="F41" s="6" t="n">
        <v>0</v>
      </c>
      <c r="G41" s="13">
        <f>SUM(B41:F41)</f>
        <v/>
      </c>
    </row>
    <row r="43">
      <c r="A43" s="14" t="inlineStr">
        <is>
          <t>Dica: os valores já vêm pré-preenchidos com R$ 15.500 (empresa 1) e, a partir de set/2026, + R$ 10.500 (empresa 2). Ajuste se a nota for um pouco menor.</t>
        </is>
      </c>
    </row>
  </sheetData>
  <mergeCells count="3">
    <mergeCell ref="A43:G4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Simulação mês a mês — DAS, Fator R, pró-labore, INSS, IRRF, lucro e líquido familiar</t>
        </is>
      </c>
    </row>
    <row r="2">
      <c r="A2" s="2" t="inlineStr">
        <is>
          <t>Receita vem da aba Notas. Altere o valor da nota lá e o Fator R / pró-labore sugerido atualizam aqui.</t>
        </is>
      </c>
    </row>
    <row r="3">
      <c r="C3" s="15" t="inlineStr">
        <is>
          <t>CENÁRIO 1 — Pró-labore atual (fixo)</t>
        </is>
      </c>
      <c r="K3" s="16" t="inlineStr">
        <is>
          <t>CENÁRIO 2 — Automático (mínimo p/ Fator R ≥ meta)</t>
        </is>
      </c>
      <c r="S3" s="17" t="inlineStr">
        <is>
          <t>CENÁRIO 3 — Pró-labore manual alternativo</t>
        </is>
      </c>
    </row>
    <row r="4" ht="32" customHeight="1">
      <c r="A4" s="8" t="inlineStr">
        <is>
          <t>Mês</t>
        </is>
      </c>
      <c r="B4" s="8" t="inlineStr">
        <is>
          <t>Receita</t>
        </is>
      </c>
      <c r="C4" s="8" t="inlineStr">
        <is>
          <t>Pró-labore</t>
        </is>
      </c>
      <c r="D4" s="8" t="inlineStr">
        <is>
          <t>Fator R</t>
        </is>
      </c>
      <c r="E4" s="8" t="inlineStr">
        <is>
          <t>Anexo</t>
        </is>
      </c>
      <c r="F4" s="8" t="inlineStr">
        <is>
          <t>DAS</t>
        </is>
      </c>
      <c r="G4" s="8" t="inlineStr">
        <is>
          <t>INSS</t>
        </is>
      </c>
      <c r="H4" s="8" t="inlineStr">
        <is>
          <t>IRRF</t>
        </is>
      </c>
      <c r="I4" s="8" t="inlineStr">
        <is>
          <t>Lucro isento*</t>
        </is>
      </c>
      <c r="J4" s="8" t="inlineStr">
        <is>
          <t>Líquido familiar**</t>
        </is>
      </c>
      <c r="K4" s="8" t="inlineStr">
        <is>
          <t>Pró-labore</t>
        </is>
      </c>
      <c r="L4" s="8" t="inlineStr">
        <is>
          <t>Fator R</t>
        </is>
      </c>
      <c r="M4" s="8" t="inlineStr">
        <is>
          <t>Anexo</t>
        </is>
      </c>
      <c r="N4" s="8" t="inlineStr">
        <is>
          <t>DAS</t>
        </is>
      </c>
      <c r="O4" s="8" t="inlineStr">
        <is>
          <t>INSS</t>
        </is>
      </c>
      <c r="P4" s="8" t="inlineStr">
        <is>
          <t>IRRF</t>
        </is>
      </c>
      <c r="Q4" s="8" t="inlineStr">
        <is>
          <t>Lucro isento*</t>
        </is>
      </c>
      <c r="R4" s="8" t="inlineStr">
        <is>
          <t>Líquido familiar**</t>
        </is>
      </c>
      <c r="S4" s="8" t="inlineStr">
        <is>
          <t>Pró-labore</t>
        </is>
      </c>
      <c r="T4" s="8" t="inlineStr">
        <is>
          <t>Fator R</t>
        </is>
      </c>
      <c r="U4" s="8" t="inlineStr">
        <is>
          <t>Anexo</t>
        </is>
      </c>
      <c r="V4" s="8" t="inlineStr">
        <is>
          <t>DAS</t>
        </is>
      </c>
      <c r="W4" s="8" t="inlineStr">
        <is>
          <t>INSS</t>
        </is>
      </c>
      <c r="X4" s="8" t="inlineStr">
        <is>
          <t>IRRF</t>
        </is>
      </c>
      <c r="Y4" s="8" t="inlineStr">
        <is>
          <t>Lucro isento*</t>
        </is>
      </c>
      <c r="Z4" s="8" t="inlineStr">
        <is>
          <t>Líquido familiar**</t>
        </is>
      </c>
    </row>
    <row r="5">
      <c r="A5" s="35" t="n">
        <v>45658</v>
      </c>
      <c r="B5" s="18">
        <f>Notas!G6</f>
        <v/>
      </c>
      <c r="C5" s="19">
        <f>Parâmetros!$B$19</f>
        <v/>
      </c>
      <c r="D5" s="20">
        <f>IF(B5=0,0,C5/B5)</f>
        <v/>
      </c>
      <c r="E5" s="21">
        <f>IF(D5&gt;=Parâmetros!$B$6,"III","V")</f>
        <v/>
      </c>
      <c r="F5" s="18">
        <f>IF(E5="III",B5*Parâmetros!$B$4,B5*Parâmetros!$B$5)</f>
        <v/>
      </c>
      <c r="G5" s="18">
        <f>MIN(C5,Parâmetros!$B$8)*Parâmetros!$B$7</f>
        <v/>
      </c>
      <c r="H5" s="18">
        <f>IF(C5&lt;=Parâmetros!$B$33,0,MAX(0,(IF(MAX(0,C5-(MIN(C5,Parâmetros!$B$8)*Parâmetros!$B$7)-(IF(Parâmetros!$B$15=1,0,Parâmetros!$B$14)*Parâmetros!$B$10))&lt;=Parâmetros!$B$25,0,IF(MAX(0,C5-(MIN(C5,Parâmetros!$B$8)*Parâmetros!$B$7)-(IF(Parâmetros!$B$15=1,0,Parâmetros!$B$14)*Parâmetros!$B$10))&lt;=Parâmetros!$B$26,MAX(0,C5-(MIN(C5,Parâmetros!$B$8)*Parâmetros!$B$7)-(IF(Parâmetros!$B$15=1,0,Parâmetros!$B$14)*Parâmetros!$B$10))*0.075-Parâmetros!$B$29,IF(MAX(0,C5-(MIN(C5,Parâmetros!$B$8)*Parâmetros!$B$7)-(IF(Parâmetros!$B$15=1,0,Parâmetros!$B$14)*Parâmetros!$B$10))&lt;=Parâmetros!$B$27,MAX(0,C5-(MIN(C5,Parâmetros!$B$8)*Parâmetros!$B$7)-(IF(Parâmetros!$B$15=1,0,Parâmetros!$B$14)*Parâmetros!$B$10))*0.15-Parâmetros!$B$30,IF(MAX(0,C5-(MIN(C5,Parâmetros!$B$8)*Parâmetros!$B$7)-(IF(Parâmetros!$B$15=1,0,Parâmetros!$B$14)*Parâmetros!$B$10))&lt;=Parâmetros!$B$28,MAX(0,C5-(MIN(C5,Parâmetros!$B$8)*Parâmetros!$B$7)-(IF(Parâmetros!$B$15=1,0,Parâmetros!$B$14)*Parâmetros!$B$10))*0.225-Parâmetros!$B$31,MAX(0,C5-(MIN(C5,Parâmetros!$B$8)*Parâmetros!$B$7)-(IF(Parâmetros!$B$15=1,0,Parâmetros!$B$14)*Parâmetros!$B$10))*0.275-Parâmetros!$B$32)))))-IF(C5&lt;=Parâmetros!$B$34,Parâmetros!$B$35-Parâmetros!$B$36*C5,0)))</f>
        <v/>
      </c>
      <c r="I5" s="18">
        <f>MAX(0,B5-F5-C5)</f>
        <v/>
      </c>
      <c r="J5" s="13">
        <f>B5-F5-G5-H5</f>
        <v/>
      </c>
      <c r="K5" s="22">
        <f>IF(A5&lt;Parâmetros!$B$23,Parâmetros!$B$19,MAX(Parâmetros!$B$22,Parâmetros!$B$6*B5))</f>
        <v/>
      </c>
      <c r="L5" s="20">
        <f>IF(B5=0,0,K5/B5)</f>
        <v/>
      </c>
      <c r="M5" s="21">
        <f>IF(L5&gt;=Parâmetros!$B$6,"III","V")</f>
        <v/>
      </c>
      <c r="N5" s="18">
        <f>IF(M5="III",B5*Parâmetros!$B$4,B5*Parâmetros!$B$5)</f>
        <v/>
      </c>
      <c r="O5" s="18">
        <f>MIN(K5,Parâmetros!$B$8)*Parâmetros!$B$7</f>
        <v/>
      </c>
      <c r="P5" s="18">
        <f>IF(K5&lt;=Parâmetros!$B$33,0,MAX(0,(IF(MAX(0,K5-(MIN(K5,Parâmetros!$B$8)*Parâmetros!$B$7)-(IF(Parâmetros!$B$15=1,0,Parâmetros!$B$14)*Parâmetros!$B$10))&lt;=Parâmetros!$B$25,0,IF(MAX(0,K5-(MIN(K5,Parâmetros!$B$8)*Parâmetros!$B$7)-(IF(Parâmetros!$B$15=1,0,Parâmetros!$B$14)*Parâmetros!$B$10))&lt;=Parâmetros!$B$26,MAX(0,K5-(MIN(K5,Parâmetros!$B$8)*Parâmetros!$B$7)-(IF(Parâmetros!$B$15=1,0,Parâmetros!$B$14)*Parâmetros!$B$10))*0.075-Parâmetros!$B$29,IF(MAX(0,K5-(MIN(K5,Parâmetros!$B$8)*Parâmetros!$B$7)-(IF(Parâmetros!$B$15=1,0,Parâmetros!$B$14)*Parâmetros!$B$10))&lt;=Parâmetros!$B$27,MAX(0,K5-(MIN(K5,Parâmetros!$B$8)*Parâmetros!$B$7)-(IF(Parâmetros!$B$15=1,0,Parâmetros!$B$14)*Parâmetros!$B$10))*0.15-Parâmetros!$B$30,IF(MAX(0,K5-(MIN(K5,Parâmetros!$B$8)*Parâmetros!$B$7)-(IF(Parâmetros!$B$15=1,0,Parâmetros!$B$14)*Parâmetros!$B$10))&lt;=Parâmetros!$B$28,MAX(0,K5-(MIN(K5,Parâmetros!$B$8)*Parâmetros!$B$7)-(IF(Parâmetros!$B$15=1,0,Parâmetros!$B$14)*Parâmetros!$B$10))*0.225-Parâmetros!$B$31,MAX(0,K5-(MIN(K5,Parâmetros!$B$8)*Parâmetros!$B$7)-(IF(Parâmetros!$B$15=1,0,Parâmetros!$B$14)*Parâmetros!$B$10))*0.275-Parâmetros!$B$32)))))-IF(K5&lt;=Parâmetros!$B$34,Parâmetros!$B$35-Parâmetros!$B$36*K5,0)))</f>
        <v/>
      </c>
      <c r="Q5" s="18">
        <f>MAX(0,B5-N5-K5)</f>
        <v/>
      </c>
      <c r="R5" s="13">
        <f>B5-N5-O5-P5</f>
        <v/>
      </c>
      <c r="S5" s="23">
        <f>Parâmetros!$B$21</f>
        <v/>
      </c>
      <c r="T5" s="20">
        <f>IF(B5=0,0,S5/B5)</f>
        <v/>
      </c>
      <c r="U5" s="21">
        <f>IF(T5&gt;=Parâmetros!$B$6,"III","V")</f>
        <v/>
      </c>
      <c r="V5" s="18">
        <f>IF(U5="III",B5*Parâmetros!$B$4,B5*Parâmetros!$B$5)</f>
        <v/>
      </c>
      <c r="W5" s="18">
        <f>MIN(S5,Parâmetros!$B$8)*Parâmetros!$B$7</f>
        <v/>
      </c>
      <c r="X5" s="18">
        <f>IF(S5&lt;=Parâmetros!$B$33,0,MAX(0,(IF(MAX(0,S5-(MIN(S5,Parâmetros!$B$8)*Parâmetros!$B$7)-(IF(Parâmetros!$B$15=1,0,Parâmetros!$B$14)*Parâmetros!$B$10))&lt;=Parâmetros!$B$25,0,IF(MAX(0,S5-(MIN(S5,Parâmetros!$B$8)*Parâmetros!$B$7)-(IF(Parâmetros!$B$15=1,0,Parâmetros!$B$14)*Parâmetros!$B$10))&lt;=Parâmetros!$B$26,MAX(0,S5-(MIN(S5,Parâmetros!$B$8)*Parâmetros!$B$7)-(IF(Parâmetros!$B$15=1,0,Parâmetros!$B$14)*Parâmetros!$B$10))*0.075-Parâmetros!$B$29,IF(MAX(0,S5-(MIN(S5,Parâmetros!$B$8)*Parâmetros!$B$7)-(IF(Parâmetros!$B$15=1,0,Parâmetros!$B$14)*Parâmetros!$B$10))&lt;=Parâmetros!$B$27,MAX(0,S5-(MIN(S5,Parâmetros!$B$8)*Parâmetros!$B$7)-(IF(Parâmetros!$B$15=1,0,Parâmetros!$B$14)*Parâmetros!$B$10))*0.15-Parâmetros!$B$30,IF(MAX(0,S5-(MIN(S5,Parâmetros!$B$8)*Parâmetros!$B$7)-(IF(Parâmetros!$B$15=1,0,Parâmetros!$B$14)*Parâmetros!$B$10))&lt;=Parâmetros!$B$28,MAX(0,S5-(MIN(S5,Parâmetros!$B$8)*Parâmetros!$B$7)-(IF(Parâmetros!$B$15=1,0,Parâmetros!$B$14)*Parâmetros!$B$10))*0.225-Parâmetros!$B$31,MAX(0,S5-(MIN(S5,Parâmetros!$B$8)*Parâmetros!$B$7)-(IF(Parâmetros!$B$15=1,0,Parâmetros!$B$14)*Parâmetros!$B$10))*0.275-Parâmetros!$B$32)))))-IF(S5&lt;=Parâmetros!$B$34,Parâmetros!$B$35-Parâmetros!$B$36*S5,0)))</f>
        <v/>
      </c>
      <c r="Y5" s="18">
        <f>MAX(0,B5-V5-S5)</f>
        <v/>
      </c>
      <c r="Z5" s="13">
        <f>B5-V5-W5-X5</f>
        <v/>
      </c>
    </row>
    <row r="6">
      <c r="A6" s="35" t="n">
        <v>45689</v>
      </c>
      <c r="B6" s="18">
        <f>Notas!G7</f>
        <v/>
      </c>
      <c r="C6" s="19">
        <f>Parâmetros!$B$19</f>
        <v/>
      </c>
      <c r="D6" s="20">
        <f>IF(SUM(B5:B6)=0,0,SUM(C5:C6)/SUM(B5:B6))</f>
        <v/>
      </c>
      <c r="E6" s="21">
        <f>IF(D6&gt;=Parâmetros!$B$6,"III","V")</f>
        <v/>
      </c>
      <c r="F6" s="18">
        <f>IF(E6="III",B6*Parâmetros!$B$4,B6*Parâmetros!$B$5)</f>
        <v/>
      </c>
      <c r="G6" s="18">
        <f>MIN(C6,Parâmetros!$B$8)*Parâmetros!$B$7</f>
        <v/>
      </c>
      <c r="H6" s="18">
        <f>IF(C6&lt;=Parâmetros!$B$33,0,MAX(0,(IF(MAX(0,C6-(MIN(C6,Parâmetros!$B$8)*Parâmetros!$B$7)-(IF(Parâmetros!$B$15=1,0,Parâmetros!$B$14)*Parâmetros!$B$10))&lt;=Parâmetros!$B$25,0,IF(MAX(0,C6-(MIN(C6,Parâmetros!$B$8)*Parâmetros!$B$7)-(IF(Parâmetros!$B$15=1,0,Parâmetros!$B$14)*Parâmetros!$B$10))&lt;=Parâmetros!$B$26,MAX(0,C6-(MIN(C6,Parâmetros!$B$8)*Parâmetros!$B$7)-(IF(Parâmetros!$B$15=1,0,Parâmetros!$B$14)*Parâmetros!$B$10))*0.075-Parâmetros!$B$29,IF(MAX(0,C6-(MIN(C6,Parâmetros!$B$8)*Parâmetros!$B$7)-(IF(Parâmetros!$B$15=1,0,Parâmetros!$B$14)*Parâmetros!$B$10))&lt;=Parâmetros!$B$27,MAX(0,C6-(MIN(C6,Parâmetros!$B$8)*Parâmetros!$B$7)-(IF(Parâmetros!$B$15=1,0,Parâmetros!$B$14)*Parâmetros!$B$10))*0.15-Parâmetros!$B$30,IF(MAX(0,C6-(MIN(C6,Parâmetros!$B$8)*Parâmetros!$B$7)-(IF(Parâmetros!$B$15=1,0,Parâmetros!$B$14)*Parâmetros!$B$10))&lt;=Parâmetros!$B$28,MAX(0,C6-(MIN(C6,Parâmetros!$B$8)*Parâmetros!$B$7)-(IF(Parâmetros!$B$15=1,0,Parâmetros!$B$14)*Parâmetros!$B$10))*0.225-Parâmetros!$B$31,MAX(0,C6-(MIN(C6,Parâmetros!$B$8)*Parâmetros!$B$7)-(IF(Parâmetros!$B$15=1,0,Parâmetros!$B$14)*Parâmetros!$B$10))*0.275-Parâmetros!$B$32)))))-IF(C6&lt;=Parâmetros!$B$34,Parâmetros!$B$35-Parâmetros!$B$36*C6,0)))</f>
        <v/>
      </c>
      <c r="I6" s="18">
        <f>MAX(0,B6-F6-C6)</f>
        <v/>
      </c>
      <c r="J6" s="13">
        <f>B6-F6-G6-H6</f>
        <v/>
      </c>
      <c r="K6" s="22">
        <f>IF(A6&lt;Parâmetros!$B$23,Parâmetros!$B$19,MAX(Parâmetros!$B$22,Parâmetros!$B$6*SUM(B5:B6)-SUM(K5:K5)))</f>
        <v/>
      </c>
      <c r="L6" s="20">
        <f>IF(SUM(B5:B6)=0,0,SUM(K5:K6)/SUM(B5:B6))</f>
        <v/>
      </c>
      <c r="M6" s="21">
        <f>IF(L6&gt;=Parâmetros!$B$6,"III","V")</f>
        <v/>
      </c>
      <c r="N6" s="18">
        <f>IF(M6="III",B6*Parâmetros!$B$4,B6*Parâmetros!$B$5)</f>
        <v/>
      </c>
      <c r="O6" s="18">
        <f>MIN(K6,Parâmetros!$B$8)*Parâmetros!$B$7</f>
        <v/>
      </c>
      <c r="P6" s="18">
        <f>IF(K6&lt;=Parâmetros!$B$33,0,MAX(0,(IF(MAX(0,K6-(MIN(K6,Parâmetros!$B$8)*Parâmetros!$B$7)-(IF(Parâmetros!$B$15=1,0,Parâmetros!$B$14)*Parâmetros!$B$10))&lt;=Parâmetros!$B$25,0,IF(MAX(0,K6-(MIN(K6,Parâmetros!$B$8)*Parâmetros!$B$7)-(IF(Parâmetros!$B$15=1,0,Parâmetros!$B$14)*Parâmetros!$B$10))&lt;=Parâmetros!$B$26,MAX(0,K6-(MIN(K6,Parâmetros!$B$8)*Parâmetros!$B$7)-(IF(Parâmetros!$B$15=1,0,Parâmetros!$B$14)*Parâmetros!$B$10))*0.075-Parâmetros!$B$29,IF(MAX(0,K6-(MIN(K6,Parâmetros!$B$8)*Parâmetros!$B$7)-(IF(Parâmetros!$B$15=1,0,Parâmetros!$B$14)*Parâmetros!$B$10))&lt;=Parâmetros!$B$27,MAX(0,K6-(MIN(K6,Parâmetros!$B$8)*Parâmetros!$B$7)-(IF(Parâmetros!$B$15=1,0,Parâmetros!$B$14)*Parâmetros!$B$10))*0.15-Parâmetros!$B$30,IF(MAX(0,K6-(MIN(K6,Parâmetros!$B$8)*Parâmetros!$B$7)-(IF(Parâmetros!$B$15=1,0,Parâmetros!$B$14)*Parâmetros!$B$10))&lt;=Parâmetros!$B$28,MAX(0,K6-(MIN(K6,Parâmetros!$B$8)*Parâmetros!$B$7)-(IF(Parâmetros!$B$15=1,0,Parâmetros!$B$14)*Parâmetros!$B$10))*0.225-Parâmetros!$B$31,MAX(0,K6-(MIN(K6,Parâmetros!$B$8)*Parâmetros!$B$7)-(IF(Parâmetros!$B$15=1,0,Parâmetros!$B$14)*Parâmetros!$B$10))*0.275-Parâmetros!$B$32)))))-IF(K6&lt;=Parâmetros!$B$34,Parâmetros!$B$35-Parâmetros!$B$36*K6,0)))</f>
        <v/>
      </c>
      <c r="Q6" s="18">
        <f>MAX(0,B6-N6-K6)</f>
        <v/>
      </c>
      <c r="R6" s="13">
        <f>B6-N6-O6-P6</f>
        <v/>
      </c>
      <c r="S6" s="23">
        <f>Parâmetros!$B$21</f>
        <v/>
      </c>
      <c r="T6" s="20">
        <f>IF(SUM(B5:B6)=0,0,SUM(S5:S6)/SUM(B5:B6))</f>
        <v/>
      </c>
      <c r="U6" s="21">
        <f>IF(T6&gt;=Parâmetros!$B$6,"III","V")</f>
        <v/>
      </c>
      <c r="V6" s="18">
        <f>IF(U6="III",B6*Parâmetros!$B$4,B6*Parâmetros!$B$5)</f>
        <v/>
      </c>
      <c r="W6" s="18">
        <f>MIN(S6,Parâmetros!$B$8)*Parâmetros!$B$7</f>
        <v/>
      </c>
      <c r="X6" s="18">
        <f>IF(S6&lt;=Parâmetros!$B$33,0,MAX(0,(IF(MAX(0,S6-(MIN(S6,Parâmetros!$B$8)*Parâmetros!$B$7)-(IF(Parâmetros!$B$15=1,0,Parâmetros!$B$14)*Parâmetros!$B$10))&lt;=Parâmetros!$B$25,0,IF(MAX(0,S6-(MIN(S6,Parâmetros!$B$8)*Parâmetros!$B$7)-(IF(Parâmetros!$B$15=1,0,Parâmetros!$B$14)*Parâmetros!$B$10))&lt;=Parâmetros!$B$26,MAX(0,S6-(MIN(S6,Parâmetros!$B$8)*Parâmetros!$B$7)-(IF(Parâmetros!$B$15=1,0,Parâmetros!$B$14)*Parâmetros!$B$10))*0.075-Parâmetros!$B$29,IF(MAX(0,S6-(MIN(S6,Parâmetros!$B$8)*Parâmetros!$B$7)-(IF(Parâmetros!$B$15=1,0,Parâmetros!$B$14)*Parâmetros!$B$10))&lt;=Parâmetros!$B$27,MAX(0,S6-(MIN(S6,Parâmetros!$B$8)*Parâmetros!$B$7)-(IF(Parâmetros!$B$15=1,0,Parâmetros!$B$14)*Parâmetros!$B$10))*0.15-Parâmetros!$B$30,IF(MAX(0,S6-(MIN(S6,Parâmetros!$B$8)*Parâmetros!$B$7)-(IF(Parâmetros!$B$15=1,0,Parâmetros!$B$14)*Parâmetros!$B$10))&lt;=Parâmetros!$B$28,MAX(0,S6-(MIN(S6,Parâmetros!$B$8)*Parâmetros!$B$7)-(IF(Parâmetros!$B$15=1,0,Parâmetros!$B$14)*Parâmetros!$B$10))*0.225-Parâmetros!$B$31,MAX(0,S6-(MIN(S6,Parâmetros!$B$8)*Parâmetros!$B$7)-(IF(Parâmetros!$B$15=1,0,Parâmetros!$B$14)*Parâmetros!$B$10))*0.275-Parâmetros!$B$32)))))-IF(S6&lt;=Parâmetros!$B$34,Parâmetros!$B$35-Parâmetros!$B$36*S6,0)))</f>
        <v/>
      </c>
      <c r="Y6" s="18">
        <f>MAX(0,B6-V6-S6)</f>
        <v/>
      </c>
      <c r="Z6" s="13">
        <f>B6-V6-W6-X6</f>
        <v/>
      </c>
    </row>
    <row r="7">
      <c r="A7" s="35" t="n">
        <v>45717</v>
      </c>
      <c r="B7" s="18">
        <f>Notas!G8</f>
        <v/>
      </c>
      <c r="C7" s="19">
        <f>Parâmetros!$B$19</f>
        <v/>
      </c>
      <c r="D7" s="20">
        <f>IF(SUM(B5:B7)=0,0,SUM(C5:C7)/SUM(B5:B7))</f>
        <v/>
      </c>
      <c r="E7" s="21">
        <f>IF(D7&gt;=Parâmetros!$B$6,"III","V")</f>
        <v/>
      </c>
      <c r="F7" s="18">
        <f>IF(E7="III",B7*Parâmetros!$B$4,B7*Parâmetros!$B$5)</f>
        <v/>
      </c>
      <c r="G7" s="18">
        <f>MIN(C7,Parâmetros!$B$8)*Parâmetros!$B$7</f>
        <v/>
      </c>
      <c r="H7" s="18">
        <f>IF(C7&lt;=Parâmetros!$B$33,0,MAX(0,(IF(MAX(0,C7-(MIN(C7,Parâmetros!$B$8)*Parâmetros!$B$7)-(IF(Parâmetros!$B$15=1,0,Parâmetros!$B$14)*Parâmetros!$B$10))&lt;=Parâmetros!$B$25,0,IF(MAX(0,C7-(MIN(C7,Parâmetros!$B$8)*Parâmetros!$B$7)-(IF(Parâmetros!$B$15=1,0,Parâmetros!$B$14)*Parâmetros!$B$10))&lt;=Parâmetros!$B$26,MAX(0,C7-(MIN(C7,Parâmetros!$B$8)*Parâmetros!$B$7)-(IF(Parâmetros!$B$15=1,0,Parâmetros!$B$14)*Parâmetros!$B$10))*0.075-Parâmetros!$B$29,IF(MAX(0,C7-(MIN(C7,Parâmetros!$B$8)*Parâmetros!$B$7)-(IF(Parâmetros!$B$15=1,0,Parâmetros!$B$14)*Parâmetros!$B$10))&lt;=Parâmetros!$B$27,MAX(0,C7-(MIN(C7,Parâmetros!$B$8)*Parâmetros!$B$7)-(IF(Parâmetros!$B$15=1,0,Parâmetros!$B$14)*Parâmetros!$B$10))*0.15-Parâmetros!$B$30,IF(MAX(0,C7-(MIN(C7,Parâmetros!$B$8)*Parâmetros!$B$7)-(IF(Parâmetros!$B$15=1,0,Parâmetros!$B$14)*Parâmetros!$B$10))&lt;=Parâmetros!$B$28,MAX(0,C7-(MIN(C7,Parâmetros!$B$8)*Parâmetros!$B$7)-(IF(Parâmetros!$B$15=1,0,Parâmetros!$B$14)*Parâmetros!$B$10))*0.225-Parâmetros!$B$31,MAX(0,C7-(MIN(C7,Parâmetros!$B$8)*Parâmetros!$B$7)-(IF(Parâmetros!$B$15=1,0,Parâmetros!$B$14)*Parâmetros!$B$10))*0.275-Parâmetros!$B$32)))))-IF(C7&lt;=Parâmetros!$B$34,Parâmetros!$B$35-Parâmetros!$B$36*C7,0)))</f>
        <v/>
      </c>
      <c r="I7" s="18">
        <f>MAX(0,B7-F7-C7)</f>
        <v/>
      </c>
      <c r="J7" s="13">
        <f>B7-F7-G7-H7</f>
        <v/>
      </c>
      <c r="K7" s="22">
        <f>IF(A7&lt;Parâmetros!$B$23,Parâmetros!$B$19,MAX(Parâmetros!$B$22,Parâmetros!$B$6*SUM(B5:B7)-SUM(K5:K6)))</f>
        <v/>
      </c>
      <c r="L7" s="20">
        <f>IF(SUM(B5:B7)=0,0,SUM(K5:K7)/SUM(B5:B7))</f>
        <v/>
      </c>
      <c r="M7" s="21">
        <f>IF(L7&gt;=Parâmetros!$B$6,"III","V")</f>
        <v/>
      </c>
      <c r="N7" s="18">
        <f>IF(M7="III",B7*Parâmetros!$B$4,B7*Parâmetros!$B$5)</f>
        <v/>
      </c>
      <c r="O7" s="18">
        <f>MIN(K7,Parâmetros!$B$8)*Parâmetros!$B$7</f>
        <v/>
      </c>
      <c r="P7" s="18">
        <f>IF(K7&lt;=Parâmetros!$B$33,0,MAX(0,(IF(MAX(0,K7-(MIN(K7,Parâmetros!$B$8)*Parâmetros!$B$7)-(IF(Parâmetros!$B$15=1,0,Parâmetros!$B$14)*Parâmetros!$B$10))&lt;=Parâmetros!$B$25,0,IF(MAX(0,K7-(MIN(K7,Parâmetros!$B$8)*Parâmetros!$B$7)-(IF(Parâmetros!$B$15=1,0,Parâmetros!$B$14)*Parâmetros!$B$10))&lt;=Parâmetros!$B$26,MAX(0,K7-(MIN(K7,Parâmetros!$B$8)*Parâmetros!$B$7)-(IF(Parâmetros!$B$15=1,0,Parâmetros!$B$14)*Parâmetros!$B$10))*0.075-Parâmetros!$B$29,IF(MAX(0,K7-(MIN(K7,Parâmetros!$B$8)*Parâmetros!$B$7)-(IF(Parâmetros!$B$15=1,0,Parâmetros!$B$14)*Parâmetros!$B$10))&lt;=Parâmetros!$B$27,MAX(0,K7-(MIN(K7,Parâmetros!$B$8)*Parâmetros!$B$7)-(IF(Parâmetros!$B$15=1,0,Parâmetros!$B$14)*Parâmetros!$B$10))*0.15-Parâmetros!$B$30,IF(MAX(0,K7-(MIN(K7,Parâmetros!$B$8)*Parâmetros!$B$7)-(IF(Parâmetros!$B$15=1,0,Parâmetros!$B$14)*Parâmetros!$B$10))&lt;=Parâmetros!$B$28,MAX(0,K7-(MIN(K7,Parâmetros!$B$8)*Parâmetros!$B$7)-(IF(Parâmetros!$B$15=1,0,Parâmetros!$B$14)*Parâmetros!$B$10))*0.225-Parâmetros!$B$31,MAX(0,K7-(MIN(K7,Parâmetros!$B$8)*Parâmetros!$B$7)-(IF(Parâmetros!$B$15=1,0,Parâmetros!$B$14)*Parâmetros!$B$10))*0.275-Parâmetros!$B$32)))))-IF(K7&lt;=Parâmetros!$B$34,Parâmetros!$B$35-Parâmetros!$B$36*K7,0)))</f>
        <v/>
      </c>
      <c r="Q7" s="18">
        <f>MAX(0,B7-N7-K7)</f>
        <v/>
      </c>
      <c r="R7" s="13">
        <f>B7-N7-O7-P7</f>
        <v/>
      </c>
      <c r="S7" s="23">
        <f>Parâmetros!$B$21</f>
        <v/>
      </c>
      <c r="T7" s="20">
        <f>IF(SUM(B5:B7)=0,0,SUM(S5:S7)/SUM(B5:B7))</f>
        <v/>
      </c>
      <c r="U7" s="21">
        <f>IF(T7&gt;=Parâmetros!$B$6,"III","V")</f>
        <v/>
      </c>
      <c r="V7" s="18">
        <f>IF(U7="III",B7*Parâmetros!$B$4,B7*Parâmetros!$B$5)</f>
        <v/>
      </c>
      <c r="W7" s="18">
        <f>MIN(S7,Parâmetros!$B$8)*Parâmetros!$B$7</f>
        <v/>
      </c>
      <c r="X7" s="18">
        <f>IF(S7&lt;=Parâmetros!$B$33,0,MAX(0,(IF(MAX(0,S7-(MIN(S7,Parâmetros!$B$8)*Parâmetros!$B$7)-(IF(Parâmetros!$B$15=1,0,Parâmetros!$B$14)*Parâmetros!$B$10))&lt;=Parâmetros!$B$25,0,IF(MAX(0,S7-(MIN(S7,Parâmetros!$B$8)*Parâmetros!$B$7)-(IF(Parâmetros!$B$15=1,0,Parâmetros!$B$14)*Parâmetros!$B$10))&lt;=Parâmetros!$B$26,MAX(0,S7-(MIN(S7,Parâmetros!$B$8)*Parâmetros!$B$7)-(IF(Parâmetros!$B$15=1,0,Parâmetros!$B$14)*Parâmetros!$B$10))*0.075-Parâmetros!$B$29,IF(MAX(0,S7-(MIN(S7,Parâmetros!$B$8)*Parâmetros!$B$7)-(IF(Parâmetros!$B$15=1,0,Parâmetros!$B$14)*Parâmetros!$B$10))&lt;=Parâmetros!$B$27,MAX(0,S7-(MIN(S7,Parâmetros!$B$8)*Parâmetros!$B$7)-(IF(Parâmetros!$B$15=1,0,Parâmetros!$B$14)*Parâmetros!$B$10))*0.15-Parâmetros!$B$30,IF(MAX(0,S7-(MIN(S7,Parâmetros!$B$8)*Parâmetros!$B$7)-(IF(Parâmetros!$B$15=1,0,Parâmetros!$B$14)*Parâmetros!$B$10))&lt;=Parâmetros!$B$28,MAX(0,S7-(MIN(S7,Parâmetros!$B$8)*Parâmetros!$B$7)-(IF(Parâmetros!$B$15=1,0,Parâmetros!$B$14)*Parâmetros!$B$10))*0.225-Parâmetros!$B$31,MAX(0,S7-(MIN(S7,Parâmetros!$B$8)*Parâmetros!$B$7)-(IF(Parâmetros!$B$15=1,0,Parâmetros!$B$14)*Parâmetros!$B$10))*0.275-Parâmetros!$B$32)))))-IF(S7&lt;=Parâmetros!$B$34,Parâmetros!$B$35-Parâmetros!$B$36*S7,0)))</f>
        <v/>
      </c>
      <c r="Y7" s="18">
        <f>MAX(0,B7-V7-S7)</f>
        <v/>
      </c>
      <c r="Z7" s="13">
        <f>B7-V7-W7-X7</f>
        <v/>
      </c>
    </row>
    <row r="8">
      <c r="A8" s="35" t="n">
        <v>45748</v>
      </c>
      <c r="B8" s="18">
        <f>Notas!G9</f>
        <v/>
      </c>
      <c r="C8" s="19">
        <f>Parâmetros!$B$19</f>
        <v/>
      </c>
      <c r="D8" s="20">
        <f>IF(SUM(B5:B8)=0,0,SUM(C5:C8)/SUM(B5:B8))</f>
        <v/>
      </c>
      <c r="E8" s="21">
        <f>IF(D8&gt;=Parâmetros!$B$6,"III","V")</f>
        <v/>
      </c>
      <c r="F8" s="18">
        <f>IF(E8="III",B8*Parâmetros!$B$4,B8*Parâmetros!$B$5)</f>
        <v/>
      </c>
      <c r="G8" s="18">
        <f>MIN(C8,Parâmetros!$B$8)*Parâmetros!$B$7</f>
        <v/>
      </c>
      <c r="H8" s="18">
        <f>IF(C8&lt;=Parâmetros!$B$33,0,MAX(0,(IF(MAX(0,C8-(MIN(C8,Parâmetros!$B$8)*Parâmetros!$B$7)-(IF(Parâmetros!$B$15=1,0,Parâmetros!$B$14)*Parâmetros!$B$10))&lt;=Parâmetros!$B$25,0,IF(MAX(0,C8-(MIN(C8,Parâmetros!$B$8)*Parâmetros!$B$7)-(IF(Parâmetros!$B$15=1,0,Parâmetros!$B$14)*Parâmetros!$B$10))&lt;=Parâmetros!$B$26,MAX(0,C8-(MIN(C8,Parâmetros!$B$8)*Parâmetros!$B$7)-(IF(Parâmetros!$B$15=1,0,Parâmetros!$B$14)*Parâmetros!$B$10))*0.075-Parâmetros!$B$29,IF(MAX(0,C8-(MIN(C8,Parâmetros!$B$8)*Parâmetros!$B$7)-(IF(Parâmetros!$B$15=1,0,Parâmetros!$B$14)*Parâmetros!$B$10))&lt;=Parâmetros!$B$27,MAX(0,C8-(MIN(C8,Parâmetros!$B$8)*Parâmetros!$B$7)-(IF(Parâmetros!$B$15=1,0,Parâmetros!$B$14)*Parâmetros!$B$10))*0.15-Parâmetros!$B$30,IF(MAX(0,C8-(MIN(C8,Parâmetros!$B$8)*Parâmetros!$B$7)-(IF(Parâmetros!$B$15=1,0,Parâmetros!$B$14)*Parâmetros!$B$10))&lt;=Parâmetros!$B$28,MAX(0,C8-(MIN(C8,Parâmetros!$B$8)*Parâmetros!$B$7)-(IF(Parâmetros!$B$15=1,0,Parâmetros!$B$14)*Parâmetros!$B$10))*0.225-Parâmetros!$B$31,MAX(0,C8-(MIN(C8,Parâmetros!$B$8)*Parâmetros!$B$7)-(IF(Parâmetros!$B$15=1,0,Parâmetros!$B$14)*Parâmetros!$B$10))*0.275-Parâmetros!$B$32)))))-IF(C8&lt;=Parâmetros!$B$34,Parâmetros!$B$35-Parâmetros!$B$36*C8,0)))</f>
        <v/>
      </c>
      <c r="I8" s="18">
        <f>MAX(0,B8-F8-C8)</f>
        <v/>
      </c>
      <c r="J8" s="13">
        <f>B8-F8-G8-H8</f>
        <v/>
      </c>
      <c r="K8" s="22">
        <f>IF(A8&lt;Parâmetros!$B$23,Parâmetros!$B$19,MAX(Parâmetros!$B$22,Parâmetros!$B$6*SUM(B5:B8)-SUM(K5:K7)))</f>
        <v/>
      </c>
      <c r="L8" s="20">
        <f>IF(SUM(B5:B8)=0,0,SUM(K5:K8)/SUM(B5:B8))</f>
        <v/>
      </c>
      <c r="M8" s="21">
        <f>IF(L8&gt;=Parâmetros!$B$6,"III","V")</f>
        <v/>
      </c>
      <c r="N8" s="18">
        <f>IF(M8="III",B8*Parâmetros!$B$4,B8*Parâmetros!$B$5)</f>
        <v/>
      </c>
      <c r="O8" s="18">
        <f>MIN(K8,Parâmetros!$B$8)*Parâmetros!$B$7</f>
        <v/>
      </c>
      <c r="P8" s="18">
        <f>IF(K8&lt;=Parâmetros!$B$33,0,MAX(0,(IF(MAX(0,K8-(MIN(K8,Parâmetros!$B$8)*Parâmetros!$B$7)-(IF(Parâmetros!$B$15=1,0,Parâmetros!$B$14)*Parâmetros!$B$10))&lt;=Parâmetros!$B$25,0,IF(MAX(0,K8-(MIN(K8,Parâmetros!$B$8)*Parâmetros!$B$7)-(IF(Parâmetros!$B$15=1,0,Parâmetros!$B$14)*Parâmetros!$B$10))&lt;=Parâmetros!$B$26,MAX(0,K8-(MIN(K8,Parâmetros!$B$8)*Parâmetros!$B$7)-(IF(Parâmetros!$B$15=1,0,Parâmetros!$B$14)*Parâmetros!$B$10))*0.075-Parâmetros!$B$29,IF(MAX(0,K8-(MIN(K8,Parâmetros!$B$8)*Parâmetros!$B$7)-(IF(Parâmetros!$B$15=1,0,Parâmetros!$B$14)*Parâmetros!$B$10))&lt;=Parâmetros!$B$27,MAX(0,K8-(MIN(K8,Parâmetros!$B$8)*Parâmetros!$B$7)-(IF(Parâmetros!$B$15=1,0,Parâmetros!$B$14)*Parâmetros!$B$10))*0.15-Parâmetros!$B$30,IF(MAX(0,K8-(MIN(K8,Parâmetros!$B$8)*Parâmetros!$B$7)-(IF(Parâmetros!$B$15=1,0,Parâmetros!$B$14)*Parâmetros!$B$10))&lt;=Parâmetros!$B$28,MAX(0,K8-(MIN(K8,Parâmetros!$B$8)*Parâmetros!$B$7)-(IF(Parâmetros!$B$15=1,0,Parâmetros!$B$14)*Parâmetros!$B$10))*0.225-Parâmetros!$B$31,MAX(0,K8-(MIN(K8,Parâmetros!$B$8)*Parâmetros!$B$7)-(IF(Parâmetros!$B$15=1,0,Parâmetros!$B$14)*Parâmetros!$B$10))*0.275-Parâmetros!$B$32)))))-IF(K8&lt;=Parâmetros!$B$34,Parâmetros!$B$35-Parâmetros!$B$36*K8,0)))</f>
        <v/>
      </c>
      <c r="Q8" s="18">
        <f>MAX(0,B8-N8-K8)</f>
        <v/>
      </c>
      <c r="R8" s="13">
        <f>B8-N8-O8-P8</f>
        <v/>
      </c>
      <c r="S8" s="23">
        <f>Parâmetros!$B$21</f>
        <v/>
      </c>
      <c r="T8" s="20">
        <f>IF(SUM(B5:B8)=0,0,SUM(S5:S8)/SUM(B5:B8))</f>
        <v/>
      </c>
      <c r="U8" s="21">
        <f>IF(T8&gt;=Parâmetros!$B$6,"III","V")</f>
        <v/>
      </c>
      <c r="V8" s="18">
        <f>IF(U8="III",B8*Parâmetros!$B$4,B8*Parâmetros!$B$5)</f>
        <v/>
      </c>
      <c r="W8" s="18">
        <f>MIN(S8,Parâmetros!$B$8)*Parâmetros!$B$7</f>
        <v/>
      </c>
      <c r="X8" s="18">
        <f>IF(S8&lt;=Parâmetros!$B$33,0,MAX(0,(IF(MAX(0,S8-(MIN(S8,Parâmetros!$B$8)*Parâmetros!$B$7)-(IF(Parâmetros!$B$15=1,0,Parâmetros!$B$14)*Parâmetros!$B$10))&lt;=Parâmetros!$B$25,0,IF(MAX(0,S8-(MIN(S8,Parâmetros!$B$8)*Parâmetros!$B$7)-(IF(Parâmetros!$B$15=1,0,Parâmetros!$B$14)*Parâmetros!$B$10))&lt;=Parâmetros!$B$26,MAX(0,S8-(MIN(S8,Parâmetros!$B$8)*Parâmetros!$B$7)-(IF(Parâmetros!$B$15=1,0,Parâmetros!$B$14)*Parâmetros!$B$10))*0.075-Parâmetros!$B$29,IF(MAX(0,S8-(MIN(S8,Parâmetros!$B$8)*Parâmetros!$B$7)-(IF(Parâmetros!$B$15=1,0,Parâmetros!$B$14)*Parâmetros!$B$10))&lt;=Parâmetros!$B$27,MAX(0,S8-(MIN(S8,Parâmetros!$B$8)*Parâmetros!$B$7)-(IF(Parâmetros!$B$15=1,0,Parâmetros!$B$14)*Parâmetros!$B$10))*0.15-Parâmetros!$B$30,IF(MAX(0,S8-(MIN(S8,Parâmetros!$B$8)*Parâmetros!$B$7)-(IF(Parâmetros!$B$15=1,0,Parâmetros!$B$14)*Parâmetros!$B$10))&lt;=Parâmetros!$B$28,MAX(0,S8-(MIN(S8,Parâmetros!$B$8)*Parâmetros!$B$7)-(IF(Parâmetros!$B$15=1,0,Parâmetros!$B$14)*Parâmetros!$B$10))*0.225-Parâmetros!$B$31,MAX(0,S8-(MIN(S8,Parâmetros!$B$8)*Parâmetros!$B$7)-(IF(Parâmetros!$B$15=1,0,Parâmetros!$B$14)*Parâmetros!$B$10))*0.275-Parâmetros!$B$32)))))-IF(S8&lt;=Parâmetros!$B$34,Parâmetros!$B$35-Parâmetros!$B$36*S8,0)))</f>
        <v/>
      </c>
      <c r="Y8" s="18">
        <f>MAX(0,B8-V8-S8)</f>
        <v/>
      </c>
      <c r="Z8" s="13">
        <f>B8-V8-W8-X8</f>
        <v/>
      </c>
    </row>
    <row r="9">
      <c r="A9" s="35" t="n">
        <v>45778</v>
      </c>
      <c r="B9" s="18">
        <f>Notas!G10</f>
        <v/>
      </c>
      <c r="C9" s="19">
        <f>Parâmetros!$B$19</f>
        <v/>
      </c>
      <c r="D9" s="20">
        <f>IF(SUM(B5:B9)=0,0,SUM(C5:C9)/SUM(B5:B9))</f>
        <v/>
      </c>
      <c r="E9" s="21">
        <f>IF(D9&gt;=Parâmetros!$B$6,"III","V")</f>
        <v/>
      </c>
      <c r="F9" s="18">
        <f>IF(E9="III",B9*Parâmetros!$B$4,B9*Parâmetros!$B$5)</f>
        <v/>
      </c>
      <c r="G9" s="18">
        <f>MIN(C9,Parâmetros!$B$8)*Parâmetros!$B$7</f>
        <v/>
      </c>
      <c r="H9" s="18">
        <f>IF(C9&lt;=Parâmetros!$B$33,0,MAX(0,(IF(MAX(0,C9-(MIN(C9,Parâmetros!$B$8)*Parâmetros!$B$7)-(IF(Parâmetros!$B$15=1,0,Parâmetros!$B$14)*Parâmetros!$B$10))&lt;=Parâmetros!$B$25,0,IF(MAX(0,C9-(MIN(C9,Parâmetros!$B$8)*Parâmetros!$B$7)-(IF(Parâmetros!$B$15=1,0,Parâmetros!$B$14)*Parâmetros!$B$10))&lt;=Parâmetros!$B$26,MAX(0,C9-(MIN(C9,Parâmetros!$B$8)*Parâmetros!$B$7)-(IF(Parâmetros!$B$15=1,0,Parâmetros!$B$14)*Parâmetros!$B$10))*0.075-Parâmetros!$B$29,IF(MAX(0,C9-(MIN(C9,Parâmetros!$B$8)*Parâmetros!$B$7)-(IF(Parâmetros!$B$15=1,0,Parâmetros!$B$14)*Parâmetros!$B$10))&lt;=Parâmetros!$B$27,MAX(0,C9-(MIN(C9,Parâmetros!$B$8)*Parâmetros!$B$7)-(IF(Parâmetros!$B$15=1,0,Parâmetros!$B$14)*Parâmetros!$B$10))*0.15-Parâmetros!$B$30,IF(MAX(0,C9-(MIN(C9,Parâmetros!$B$8)*Parâmetros!$B$7)-(IF(Parâmetros!$B$15=1,0,Parâmetros!$B$14)*Parâmetros!$B$10))&lt;=Parâmetros!$B$28,MAX(0,C9-(MIN(C9,Parâmetros!$B$8)*Parâmetros!$B$7)-(IF(Parâmetros!$B$15=1,0,Parâmetros!$B$14)*Parâmetros!$B$10))*0.225-Parâmetros!$B$31,MAX(0,C9-(MIN(C9,Parâmetros!$B$8)*Parâmetros!$B$7)-(IF(Parâmetros!$B$15=1,0,Parâmetros!$B$14)*Parâmetros!$B$10))*0.275-Parâmetros!$B$32)))))-IF(C9&lt;=Parâmetros!$B$34,Parâmetros!$B$35-Parâmetros!$B$36*C9,0)))</f>
        <v/>
      </c>
      <c r="I9" s="18">
        <f>MAX(0,B9-F9-C9)</f>
        <v/>
      </c>
      <c r="J9" s="13">
        <f>B9-F9-G9-H9</f>
        <v/>
      </c>
      <c r="K9" s="22">
        <f>IF(A9&lt;Parâmetros!$B$23,Parâmetros!$B$19,MAX(Parâmetros!$B$22,Parâmetros!$B$6*SUM(B5:B9)-SUM(K5:K8)))</f>
        <v/>
      </c>
      <c r="L9" s="20">
        <f>IF(SUM(B5:B9)=0,0,SUM(K5:K9)/SUM(B5:B9))</f>
        <v/>
      </c>
      <c r="M9" s="21">
        <f>IF(L9&gt;=Parâmetros!$B$6,"III","V")</f>
        <v/>
      </c>
      <c r="N9" s="18">
        <f>IF(M9="III",B9*Parâmetros!$B$4,B9*Parâmetros!$B$5)</f>
        <v/>
      </c>
      <c r="O9" s="18">
        <f>MIN(K9,Parâmetros!$B$8)*Parâmetros!$B$7</f>
        <v/>
      </c>
      <c r="P9" s="18">
        <f>IF(K9&lt;=Parâmetros!$B$33,0,MAX(0,(IF(MAX(0,K9-(MIN(K9,Parâmetros!$B$8)*Parâmetros!$B$7)-(IF(Parâmetros!$B$15=1,0,Parâmetros!$B$14)*Parâmetros!$B$10))&lt;=Parâmetros!$B$25,0,IF(MAX(0,K9-(MIN(K9,Parâmetros!$B$8)*Parâmetros!$B$7)-(IF(Parâmetros!$B$15=1,0,Parâmetros!$B$14)*Parâmetros!$B$10))&lt;=Parâmetros!$B$26,MAX(0,K9-(MIN(K9,Parâmetros!$B$8)*Parâmetros!$B$7)-(IF(Parâmetros!$B$15=1,0,Parâmetros!$B$14)*Parâmetros!$B$10))*0.075-Parâmetros!$B$29,IF(MAX(0,K9-(MIN(K9,Parâmetros!$B$8)*Parâmetros!$B$7)-(IF(Parâmetros!$B$15=1,0,Parâmetros!$B$14)*Parâmetros!$B$10))&lt;=Parâmetros!$B$27,MAX(0,K9-(MIN(K9,Parâmetros!$B$8)*Parâmetros!$B$7)-(IF(Parâmetros!$B$15=1,0,Parâmetros!$B$14)*Parâmetros!$B$10))*0.15-Parâmetros!$B$30,IF(MAX(0,K9-(MIN(K9,Parâmetros!$B$8)*Parâmetros!$B$7)-(IF(Parâmetros!$B$15=1,0,Parâmetros!$B$14)*Parâmetros!$B$10))&lt;=Parâmetros!$B$28,MAX(0,K9-(MIN(K9,Parâmetros!$B$8)*Parâmetros!$B$7)-(IF(Parâmetros!$B$15=1,0,Parâmetros!$B$14)*Parâmetros!$B$10))*0.225-Parâmetros!$B$31,MAX(0,K9-(MIN(K9,Parâmetros!$B$8)*Parâmetros!$B$7)-(IF(Parâmetros!$B$15=1,0,Parâmetros!$B$14)*Parâmetros!$B$10))*0.275-Parâmetros!$B$32)))))-IF(K9&lt;=Parâmetros!$B$34,Parâmetros!$B$35-Parâmetros!$B$36*K9,0)))</f>
        <v/>
      </c>
      <c r="Q9" s="18">
        <f>MAX(0,B9-N9-K9)</f>
        <v/>
      </c>
      <c r="R9" s="13">
        <f>B9-N9-O9-P9</f>
        <v/>
      </c>
      <c r="S9" s="23">
        <f>Parâmetros!$B$21</f>
        <v/>
      </c>
      <c r="T9" s="20">
        <f>IF(SUM(B5:B9)=0,0,SUM(S5:S9)/SUM(B5:B9))</f>
        <v/>
      </c>
      <c r="U9" s="21">
        <f>IF(T9&gt;=Parâmetros!$B$6,"III","V")</f>
        <v/>
      </c>
      <c r="V9" s="18">
        <f>IF(U9="III",B9*Parâmetros!$B$4,B9*Parâmetros!$B$5)</f>
        <v/>
      </c>
      <c r="W9" s="18">
        <f>MIN(S9,Parâmetros!$B$8)*Parâmetros!$B$7</f>
        <v/>
      </c>
      <c r="X9" s="18">
        <f>IF(S9&lt;=Parâmetros!$B$33,0,MAX(0,(IF(MAX(0,S9-(MIN(S9,Parâmetros!$B$8)*Parâmetros!$B$7)-(IF(Parâmetros!$B$15=1,0,Parâmetros!$B$14)*Parâmetros!$B$10))&lt;=Parâmetros!$B$25,0,IF(MAX(0,S9-(MIN(S9,Parâmetros!$B$8)*Parâmetros!$B$7)-(IF(Parâmetros!$B$15=1,0,Parâmetros!$B$14)*Parâmetros!$B$10))&lt;=Parâmetros!$B$26,MAX(0,S9-(MIN(S9,Parâmetros!$B$8)*Parâmetros!$B$7)-(IF(Parâmetros!$B$15=1,0,Parâmetros!$B$14)*Parâmetros!$B$10))*0.075-Parâmetros!$B$29,IF(MAX(0,S9-(MIN(S9,Parâmetros!$B$8)*Parâmetros!$B$7)-(IF(Parâmetros!$B$15=1,0,Parâmetros!$B$14)*Parâmetros!$B$10))&lt;=Parâmetros!$B$27,MAX(0,S9-(MIN(S9,Parâmetros!$B$8)*Parâmetros!$B$7)-(IF(Parâmetros!$B$15=1,0,Parâmetros!$B$14)*Parâmetros!$B$10))*0.15-Parâmetros!$B$30,IF(MAX(0,S9-(MIN(S9,Parâmetros!$B$8)*Parâmetros!$B$7)-(IF(Parâmetros!$B$15=1,0,Parâmetros!$B$14)*Parâmetros!$B$10))&lt;=Parâmetros!$B$28,MAX(0,S9-(MIN(S9,Parâmetros!$B$8)*Parâmetros!$B$7)-(IF(Parâmetros!$B$15=1,0,Parâmetros!$B$14)*Parâmetros!$B$10))*0.225-Parâmetros!$B$31,MAX(0,S9-(MIN(S9,Parâmetros!$B$8)*Parâmetros!$B$7)-(IF(Parâmetros!$B$15=1,0,Parâmetros!$B$14)*Parâmetros!$B$10))*0.275-Parâmetros!$B$32)))))-IF(S9&lt;=Parâmetros!$B$34,Parâmetros!$B$35-Parâmetros!$B$36*S9,0)))</f>
        <v/>
      </c>
      <c r="Y9" s="18">
        <f>MAX(0,B9-V9-S9)</f>
        <v/>
      </c>
      <c r="Z9" s="13">
        <f>B9-V9-W9-X9</f>
        <v/>
      </c>
    </row>
    <row r="10">
      <c r="A10" s="35" t="n">
        <v>45809</v>
      </c>
      <c r="B10" s="18">
        <f>Notas!G11</f>
        <v/>
      </c>
      <c r="C10" s="19">
        <f>Parâmetros!$B$19</f>
        <v/>
      </c>
      <c r="D10" s="20">
        <f>IF(SUM(B5:B10)=0,0,SUM(C5:C10)/SUM(B5:B10))</f>
        <v/>
      </c>
      <c r="E10" s="21">
        <f>IF(D10&gt;=Parâmetros!$B$6,"III","V")</f>
        <v/>
      </c>
      <c r="F10" s="18">
        <f>IF(E10="III",B10*Parâmetros!$B$4,B10*Parâmetros!$B$5)</f>
        <v/>
      </c>
      <c r="G10" s="18">
        <f>MIN(C10,Parâmetros!$B$8)*Parâmetros!$B$7</f>
        <v/>
      </c>
      <c r="H10" s="18">
        <f>IF(C10&lt;=Parâmetros!$B$33,0,MAX(0,(IF(MAX(0,C10-(MIN(C10,Parâmetros!$B$8)*Parâmetros!$B$7)-(IF(Parâmetros!$B$15=1,0,Parâmetros!$B$14)*Parâmetros!$B$10))&lt;=Parâmetros!$B$25,0,IF(MAX(0,C10-(MIN(C10,Parâmetros!$B$8)*Parâmetros!$B$7)-(IF(Parâmetros!$B$15=1,0,Parâmetros!$B$14)*Parâmetros!$B$10))&lt;=Parâmetros!$B$26,MAX(0,C10-(MIN(C10,Parâmetros!$B$8)*Parâmetros!$B$7)-(IF(Parâmetros!$B$15=1,0,Parâmetros!$B$14)*Parâmetros!$B$10))*0.075-Parâmetros!$B$29,IF(MAX(0,C10-(MIN(C10,Parâmetros!$B$8)*Parâmetros!$B$7)-(IF(Parâmetros!$B$15=1,0,Parâmetros!$B$14)*Parâmetros!$B$10))&lt;=Parâmetros!$B$27,MAX(0,C10-(MIN(C10,Parâmetros!$B$8)*Parâmetros!$B$7)-(IF(Parâmetros!$B$15=1,0,Parâmetros!$B$14)*Parâmetros!$B$10))*0.15-Parâmetros!$B$30,IF(MAX(0,C10-(MIN(C10,Parâmetros!$B$8)*Parâmetros!$B$7)-(IF(Parâmetros!$B$15=1,0,Parâmetros!$B$14)*Parâmetros!$B$10))&lt;=Parâmetros!$B$28,MAX(0,C10-(MIN(C10,Parâmetros!$B$8)*Parâmetros!$B$7)-(IF(Parâmetros!$B$15=1,0,Parâmetros!$B$14)*Parâmetros!$B$10))*0.225-Parâmetros!$B$31,MAX(0,C10-(MIN(C10,Parâmetros!$B$8)*Parâmetros!$B$7)-(IF(Parâmetros!$B$15=1,0,Parâmetros!$B$14)*Parâmetros!$B$10))*0.275-Parâmetros!$B$32)))))-IF(C10&lt;=Parâmetros!$B$34,Parâmetros!$B$35-Parâmetros!$B$36*C10,0)))</f>
        <v/>
      </c>
      <c r="I10" s="18">
        <f>MAX(0,B10-F10-C10)</f>
        <v/>
      </c>
      <c r="J10" s="13">
        <f>B10-F10-G10-H10</f>
        <v/>
      </c>
      <c r="K10" s="22">
        <f>IF(A10&lt;Parâmetros!$B$23,Parâmetros!$B$19,MAX(Parâmetros!$B$22,Parâmetros!$B$6*SUM(B5:B10)-SUM(K5:K9)))</f>
        <v/>
      </c>
      <c r="L10" s="20">
        <f>IF(SUM(B5:B10)=0,0,SUM(K5:K10)/SUM(B5:B10))</f>
        <v/>
      </c>
      <c r="M10" s="21">
        <f>IF(L10&gt;=Parâmetros!$B$6,"III","V")</f>
        <v/>
      </c>
      <c r="N10" s="18">
        <f>IF(M10="III",B10*Parâmetros!$B$4,B10*Parâmetros!$B$5)</f>
        <v/>
      </c>
      <c r="O10" s="18">
        <f>MIN(K10,Parâmetros!$B$8)*Parâmetros!$B$7</f>
        <v/>
      </c>
      <c r="P10" s="18">
        <f>IF(K10&lt;=Parâmetros!$B$33,0,MAX(0,(IF(MAX(0,K10-(MIN(K10,Parâmetros!$B$8)*Parâmetros!$B$7)-(IF(Parâmetros!$B$15=1,0,Parâmetros!$B$14)*Parâmetros!$B$10))&lt;=Parâmetros!$B$25,0,IF(MAX(0,K10-(MIN(K10,Parâmetros!$B$8)*Parâmetros!$B$7)-(IF(Parâmetros!$B$15=1,0,Parâmetros!$B$14)*Parâmetros!$B$10))&lt;=Parâmetros!$B$26,MAX(0,K10-(MIN(K10,Parâmetros!$B$8)*Parâmetros!$B$7)-(IF(Parâmetros!$B$15=1,0,Parâmetros!$B$14)*Parâmetros!$B$10))*0.075-Parâmetros!$B$29,IF(MAX(0,K10-(MIN(K10,Parâmetros!$B$8)*Parâmetros!$B$7)-(IF(Parâmetros!$B$15=1,0,Parâmetros!$B$14)*Parâmetros!$B$10))&lt;=Parâmetros!$B$27,MAX(0,K10-(MIN(K10,Parâmetros!$B$8)*Parâmetros!$B$7)-(IF(Parâmetros!$B$15=1,0,Parâmetros!$B$14)*Parâmetros!$B$10))*0.15-Parâmetros!$B$30,IF(MAX(0,K10-(MIN(K10,Parâmetros!$B$8)*Parâmetros!$B$7)-(IF(Parâmetros!$B$15=1,0,Parâmetros!$B$14)*Parâmetros!$B$10))&lt;=Parâmetros!$B$28,MAX(0,K10-(MIN(K10,Parâmetros!$B$8)*Parâmetros!$B$7)-(IF(Parâmetros!$B$15=1,0,Parâmetros!$B$14)*Parâmetros!$B$10))*0.225-Parâmetros!$B$31,MAX(0,K10-(MIN(K10,Parâmetros!$B$8)*Parâmetros!$B$7)-(IF(Parâmetros!$B$15=1,0,Parâmetros!$B$14)*Parâmetros!$B$10))*0.275-Parâmetros!$B$32)))))-IF(K10&lt;=Parâmetros!$B$34,Parâmetros!$B$35-Parâmetros!$B$36*K10,0)))</f>
        <v/>
      </c>
      <c r="Q10" s="18">
        <f>MAX(0,B10-N10-K10)</f>
        <v/>
      </c>
      <c r="R10" s="13">
        <f>B10-N10-O10-P10</f>
        <v/>
      </c>
      <c r="S10" s="23">
        <f>Parâmetros!$B$21</f>
        <v/>
      </c>
      <c r="T10" s="20">
        <f>IF(SUM(B5:B10)=0,0,SUM(S5:S10)/SUM(B5:B10))</f>
        <v/>
      </c>
      <c r="U10" s="21">
        <f>IF(T10&gt;=Parâmetros!$B$6,"III","V")</f>
        <v/>
      </c>
      <c r="V10" s="18">
        <f>IF(U10="III",B10*Parâmetros!$B$4,B10*Parâmetros!$B$5)</f>
        <v/>
      </c>
      <c r="W10" s="18">
        <f>MIN(S10,Parâmetros!$B$8)*Parâmetros!$B$7</f>
        <v/>
      </c>
      <c r="X10" s="18">
        <f>IF(S10&lt;=Parâmetros!$B$33,0,MAX(0,(IF(MAX(0,S10-(MIN(S10,Parâmetros!$B$8)*Parâmetros!$B$7)-(IF(Parâmetros!$B$15=1,0,Parâmetros!$B$14)*Parâmetros!$B$10))&lt;=Parâmetros!$B$25,0,IF(MAX(0,S10-(MIN(S10,Parâmetros!$B$8)*Parâmetros!$B$7)-(IF(Parâmetros!$B$15=1,0,Parâmetros!$B$14)*Parâmetros!$B$10))&lt;=Parâmetros!$B$26,MAX(0,S10-(MIN(S10,Parâmetros!$B$8)*Parâmetros!$B$7)-(IF(Parâmetros!$B$15=1,0,Parâmetros!$B$14)*Parâmetros!$B$10))*0.075-Parâmetros!$B$29,IF(MAX(0,S10-(MIN(S10,Parâmetros!$B$8)*Parâmetros!$B$7)-(IF(Parâmetros!$B$15=1,0,Parâmetros!$B$14)*Parâmetros!$B$10))&lt;=Parâmetros!$B$27,MAX(0,S10-(MIN(S10,Parâmetros!$B$8)*Parâmetros!$B$7)-(IF(Parâmetros!$B$15=1,0,Parâmetros!$B$14)*Parâmetros!$B$10))*0.15-Parâmetros!$B$30,IF(MAX(0,S10-(MIN(S10,Parâmetros!$B$8)*Parâmetros!$B$7)-(IF(Parâmetros!$B$15=1,0,Parâmetros!$B$14)*Parâmetros!$B$10))&lt;=Parâmetros!$B$28,MAX(0,S10-(MIN(S10,Parâmetros!$B$8)*Parâmetros!$B$7)-(IF(Parâmetros!$B$15=1,0,Parâmetros!$B$14)*Parâmetros!$B$10))*0.225-Parâmetros!$B$31,MAX(0,S10-(MIN(S10,Parâmetros!$B$8)*Parâmetros!$B$7)-(IF(Parâmetros!$B$15=1,0,Parâmetros!$B$14)*Parâmetros!$B$10))*0.275-Parâmetros!$B$32)))))-IF(S10&lt;=Parâmetros!$B$34,Parâmetros!$B$35-Parâmetros!$B$36*S10,0)))</f>
        <v/>
      </c>
      <c r="Y10" s="18">
        <f>MAX(0,B10-V10-S10)</f>
        <v/>
      </c>
      <c r="Z10" s="13">
        <f>B10-V10-W10-X10</f>
        <v/>
      </c>
    </row>
    <row r="11">
      <c r="A11" s="35" t="n">
        <v>45839</v>
      </c>
      <c r="B11" s="18">
        <f>Notas!G12</f>
        <v/>
      </c>
      <c r="C11" s="19">
        <f>Parâmetros!$B$19</f>
        <v/>
      </c>
      <c r="D11" s="20">
        <f>IF(SUM(B5:B11)=0,0,SUM(C5:C11)/SUM(B5:B11))</f>
        <v/>
      </c>
      <c r="E11" s="21">
        <f>IF(D11&gt;=Parâmetros!$B$6,"III","V")</f>
        <v/>
      </c>
      <c r="F11" s="18">
        <f>IF(E11="III",B11*Parâmetros!$B$4,B11*Parâmetros!$B$5)</f>
        <v/>
      </c>
      <c r="G11" s="18">
        <f>MIN(C11,Parâmetros!$B$8)*Parâmetros!$B$7</f>
        <v/>
      </c>
      <c r="H11" s="18">
        <f>IF(C11&lt;=Parâmetros!$B$33,0,MAX(0,(IF(MAX(0,C11-(MIN(C11,Parâmetros!$B$8)*Parâmetros!$B$7)-(IF(Parâmetros!$B$15=1,0,Parâmetros!$B$14)*Parâmetros!$B$10))&lt;=Parâmetros!$B$25,0,IF(MAX(0,C11-(MIN(C11,Parâmetros!$B$8)*Parâmetros!$B$7)-(IF(Parâmetros!$B$15=1,0,Parâmetros!$B$14)*Parâmetros!$B$10))&lt;=Parâmetros!$B$26,MAX(0,C11-(MIN(C11,Parâmetros!$B$8)*Parâmetros!$B$7)-(IF(Parâmetros!$B$15=1,0,Parâmetros!$B$14)*Parâmetros!$B$10))*0.075-Parâmetros!$B$29,IF(MAX(0,C11-(MIN(C11,Parâmetros!$B$8)*Parâmetros!$B$7)-(IF(Parâmetros!$B$15=1,0,Parâmetros!$B$14)*Parâmetros!$B$10))&lt;=Parâmetros!$B$27,MAX(0,C11-(MIN(C11,Parâmetros!$B$8)*Parâmetros!$B$7)-(IF(Parâmetros!$B$15=1,0,Parâmetros!$B$14)*Parâmetros!$B$10))*0.15-Parâmetros!$B$30,IF(MAX(0,C11-(MIN(C11,Parâmetros!$B$8)*Parâmetros!$B$7)-(IF(Parâmetros!$B$15=1,0,Parâmetros!$B$14)*Parâmetros!$B$10))&lt;=Parâmetros!$B$28,MAX(0,C11-(MIN(C11,Parâmetros!$B$8)*Parâmetros!$B$7)-(IF(Parâmetros!$B$15=1,0,Parâmetros!$B$14)*Parâmetros!$B$10))*0.225-Parâmetros!$B$31,MAX(0,C11-(MIN(C11,Parâmetros!$B$8)*Parâmetros!$B$7)-(IF(Parâmetros!$B$15=1,0,Parâmetros!$B$14)*Parâmetros!$B$10))*0.275-Parâmetros!$B$32)))))-IF(C11&lt;=Parâmetros!$B$34,Parâmetros!$B$35-Parâmetros!$B$36*C11,0)))</f>
        <v/>
      </c>
      <c r="I11" s="18">
        <f>MAX(0,B11-F11-C11)</f>
        <v/>
      </c>
      <c r="J11" s="13">
        <f>B11-F11-G11-H11</f>
        <v/>
      </c>
      <c r="K11" s="22">
        <f>IF(A11&lt;Parâmetros!$B$23,Parâmetros!$B$19,MAX(Parâmetros!$B$22,Parâmetros!$B$6*SUM(B5:B11)-SUM(K5:K10)))</f>
        <v/>
      </c>
      <c r="L11" s="20">
        <f>IF(SUM(B5:B11)=0,0,SUM(K5:K11)/SUM(B5:B11))</f>
        <v/>
      </c>
      <c r="M11" s="21">
        <f>IF(L11&gt;=Parâmetros!$B$6,"III","V")</f>
        <v/>
      </c>
      <c r="N11" s="18">
        <f>IF(M11="III",B11*Parâmetros!$B$4,B11*Parâmetros!$B$5)</f>
        <v/>
      </c>
      <c r="O11" s="18">
        <f>MIN(K11,Parâmetros!$B$8)*Parâmetros!$B$7</f>
        <v/>
      </c>
      <c r="P11" s="18">
        <f>IF(K11&lt;=Parâmetros!$B$33,0,MAX(0,(IF(MAX(0,K11-(MIN(K11,Parâmetros!$B$8)*Parâmetros!$B$7)-(IF(Parâmetros!$B$15=1,0,Parâmetros!$B$14)*Parâmetros!$B$10))&lt;=Parâmetros!$B$25,0,IF(MAX(0,K11-(MIN(K11,Parâmetros!$B$8)*Parâmetros!$B$7)-(IF(Parâmetros!$B$15=1,0,Parâmetros!$B$14)*Parâmetros!$B$10))&lt;=Parâmetros!$B$26,MAX(0,K11-(MIN(K11,Parâmetros!$B$8)*Parâmetros!$B$7)-(IF(Parâmetros!$B$15=1,0,Parâmetros!$B$14)*Parâmetros!$B$10))*0.075-Parâmetros!$B$29,IF(MAX(0,K11-(MIN(K11,Parâmetros!$B$8)*Parâmetros!$B$7)-(IF(Parâmetros!$B$15=1,0,Parâmetros!$B$14)*Parâmetros!$B$10))&lt;=Parâmetros!$B$27,MAX(0,K11-(MIN(K11,Parâmetros!$B$8)*Parâmetros!$B$7)-(IF(Parâmetros!$B$15=1,0,Parâmetros!$B$14)*Parâmetros!$B$10))*0.15-Parâmetros!$B$30,IF(MAX(0,K11-(MIN(K11,Parâmetros!$B$8)*Parâmetros!$B$7)-(IF(Parâmetros!$B$15=1,0,Parâmetros!$B$14)*Parâmetros!$B$10))&lt;=Parâmetros!$B$28,MAX(0,K11-(MIN(K11,Parâmetros!$B$8)*Parâmetros!$B$7)-(IF(Parâmetros!$B$15=1,0,Parâmetros!$B$14)*Parâmetros!$B$10))*0.225-Parâmetros!$B$31,MAX(0,K11-(MIN(K11,Parâmetros!$B$8)*Parâmetros!$B$7)-(IF(Parâmetros!$B$15=1,0,Parâmetros!$B$14)*Parâmetros!$B$10))*0.275-Parâmetros!$B$32)))))-IF(K11&lt;=Parâmetros!$B$34,Parâmetros!$B$35-Parâmetros!$B$36*K11,0)))</f>
        <v/>
      </c>
      <c r="Q11" s="18">
        <f>MAX(0,B11-N11-K11)</f>
        <v/>
      </c>
      <c r="R11" s="13">
        <f>B11-N11-O11-P11</f>
        <v/>
      </c>
      <c r="S11" s="23">
        <f>Parâmetros!$B$21</f>
        <v/>
      </c>
      <c r="T11" s="20">
        <f>IF(SUM(B5:B11)=0,0,SUM(S5:S11)/SUM(B5:B11))</f>
        <v/>
      </c>
      <c r="U11" s="21">
        <f>IF(T11&gt;=Parâmetros!$B$6,"III","V")</f>
        <v/>
      </c>
      <c r="V11" s="18">
        <f>IF(U11="III",B11*Parâmetros!$B$4,B11*Parâmetros!$B$5)</f>
        <v/>
      </c>
      <c r="W11" s="18">
        <f>MIN(S11,Parâmetros!$B$8)*Parâmetros!$B$7</f>
        <v/>
      </c>
      <c r="X11" s="18">
        <f>IF(S11&lt;=Parâmetros!$B$33,0,MAX(0,(IF(MAX(0,S11-(MIN(S11,Parâmetros!$B$8)*Parâmetros!$B$7)-(IF(Parâmetros!$B$15=1,0,Parâmetros!$B$14)*Parâmetros!$B$10))&lt;=Parâmetros!$B$25,0,IF(MAX(0,S11-(MIN(S11,Parâmetros!$B$8)*Parâmetros!$B$7)-(IF(Parâmetros!$B$15=1,0,Parâmetros!$B$14)*Parâmetros!$B$10))&lt;=Parâmetros!$B$26,MAX(0,S11-(MIN(S11,Parâmetros!$B$8)*Parâmetros!$B$7)-(IF(Parâmetros!$B$15=1,0,Parâmetros!$B$14)*Parâmetros!$B$10))*0.075-Parâmetros!$B$29,IF(MAX(0,S11-(MIN(S11,Parâmetros!$B$8)*Parâmetros!$B$7)-(IF(Parâmetros!$B$15=1,0,Parâmetros!$B$14)*Parâmetros!$B$10))&lt;=Parâmetros!$B$27,MAX(0,S11-(MIN(S11,Parâmetros!$B$8)*Parâmetros!$B$7)-(IF(Parâmetros!$B$15=1,0,Parâmetros!$B$14)*Parâmetros!$B$10))*0.15-Parâmetros!$B$30,IF(MAX(0,S11-(MIN(S11,Parâmetros!$B$8)*Parâmetros!$B$7)-(IF(Parâmetros!$B$15=1,0,Parâmetros!$B$14)*Parâmetros!$B$10))&lt;=Parâmetros!$B$28,MAX(0,S11-(MIN(S11,Parâmetros!$B$8)*Parâmetros!$B$7)-(IF(Parâmetros!$B$15=1,0,Parâmetros!$B$14)*Parâmetros!$B$10))*0.225-Parâmetros!$B$31,MAX(0,S11-(MIN(S11,Parâmetros!$B$8)*Parâmetros!$B$7)-(IF(Parâmetros!$B$15=1,0,Parâmetros!$B$14)*Parâmetros!$B$10))*0.275-Parâmetros!$B$32)))))-IF(S11&lt;=Parâmetros!$B$34,Parâmetros!$B$35-Parâmetros!$B$36*S11,0)))</f>
        <v/>
      </c>
      <c r="Y11" s="18">
        <f>MAX(0,B11-V11-S11)</f>
        <v/>
      </c>
      <c r="Z11" s="13">
        <f>B11-V11-W11-X11</f>
        <v/>
      </c>
    </row>
    <row r="12">
      <c r="A12" s="35" t="n">
        <v>45870</v>
      </c>
      <c r="B12" s="18">
        <f>Notas!G13</f>
        <v/>
      </c>
      <c r="C12" s="19">
        <f>Parâmetros!$B$19</f>
        <v/>
      </c>
      <c r="D12" s="20">
        <f>IF(SUM(B5:B12)=0,0,SUM(C5:C12)/SUM(B5:B12))</f>
        <v/>
      </c>
      <c r="E12" s="21">
        <f>IF(D12&gt;=Parâmetros!$B$6,"III","V")</f>
        <v/>
      </c>
      <c r="F12" s="18">
        <f>IF(E12="III",B12*Parâmetros!$B$4,B12*Parâmetros!$B$5)</f>
        <v/>
      </c>
      <c r="G12" s="18">
        <f>MIN(C12,Parâmetros!$B$8)*Parâmetros!$B$7</f>
        <v/>
      </c>
      <c r="H12" s="18">
        <f>IF(C12&lt;=Parâmetros!$B$33,0,MAX(0,(IF(MAX(0,C12-(MIN(C12,Parâmetros!$B$8)*Parâmetros!$B$7)-(IF(Parâmetros!$B$15=1,0,Parâmetros!$B$14)*Parâmetros!$B$10))&lt;=Parâmetros!$B$25,0,IF(MAX(0,C12-(MIN(C12,Parâmetros!$B$8)*Parâmetros!$B$7)-(IF(Parâmetros!$B$15=1,0,Parâmetros!$B$14)*Parâmetros!$B$10))&lt;=Parâmetros!$B$26,MAX(0,C12-(MIN(C12,Parâmetros!$B$8)*Parâmetros!$B$7)-(IF(Parâmetros!$B$15=1,0,Parâmetros!$B$14)*Parâmetros!$B$10))*0.075-Parâmetros!$B$29,IF(MAX(0,C12-(MIN(C12,Parâmetros!$B$8)*Parâmetros!$B$7)-(IF(Parâmetros!$B$15=1,0,Parâmetros!$B$14)*Parâmetros!$B$10))&lt;=Parâmetros!$B$27,MAX(0,C12-(MIN(C12,Parâmetros!$B$8)*Parâmetros!$B$7)-(IF(Parâmetros!$B$15=1,0,Parâmetros!$B$14)*Parâmetros!$B$10))*0.15-Parâmetros!$B$30,IF(MAX(0,C12-(MIN(C12,Parâmetros!$B$8)*Parâmetros!$B$7)-(IF(Parâmetros!$B$15=1,0,Parâmetros!$B$14)*Parâmetros!$B$10))&lt;=Parâmetros!$B$28,MAX(0,C12-(MIN(C12,Parâmetros!$B$8)*Parâmetros!$B$7)-(IF(Parâmetros!$B$15=1,0,Parâmetros!$B$14)*Parâmetros!$B$10))*0.225-Parâmetros!$B$31,MAX(0,C12-(MIN(C12,Parâmetros!$B$8)*Parâmetros!$B$7)-(IF(Parâmetros!$B$15=1,0,Parâmetros!$B$14)*Parâmetros!$B$10))*0.275-Parâmetros!$B$32)))))-IF(C12&lt;=Parâmetros!$B$34,Parâmetros!$B$35-Parâmetros!$B$36*C12,0)))</f>
        <v/>
      </c>
      <c r="I12" s="18">
        <f>MAX(0,B12-F12-C12)</f>
        <v/>
      </c>
      <c r="J12" s="13">
        <f>B12-F12-G12-H12</f>
        <v/>
      </c>
      <c r="K12" s="22">
        <f>IF(A12&lt;Parâmetros!$B$23,Parâmetros!$B$19,MAX(Parâmetros!$B$22,Parâmetros!$B$6*SUM(B5:B12)-SUM(K5:K11)))</f>
        <v/>
      </c>
      <c r="L12" s="20">
        <f>IF(SUM(B5:B12)=0,0,SUM(K5:K12)/SUM(B5:B12))</f>
        <v/>
      </c>
      <c r="M12" s="21">
        <f>IF(L12&gt;=Parâmetros!$B$6,"III","V")</f>
        <v/>
      </c>
      <c r="N12" s="18">
        <f>IF(M12="III",B12*Parâmetros!$B$4,B12*Parâmetros!$B$5)</f>
        <v/>
      </c>
      <c r="O12" s="18">
        <f>MIN(K12,Parâmetros!$B$8)*Parâmetros!$B$7</f>
        <v/>
      </c>
      <c r="P12" s="18">
        <f>IF(K12&lt;=Parâmetros!$B$33,0,MAX(0,(IF(MAX(0,K12-(MIN(K12,Parâmetros!$B$8)*Parâmetros!$B$7)-(IF(Parâmetros!$B$15=1,0,Parâmetros!$B$14)*Parâmetros!$B$10))&lt;=Parâmetros!$B$25,0,IF(MAX(0,K12-(MIN(K12,Parâmetros!$B$8)*Parâmetros!$B$7)-(IF(Parâmetros!$B$15=1,0,Parâmetros!$B$14)*Parâmetros!$B$10))&lt;=Parâmetros!$B$26,MAX(0,K12-(MIN(K12,Parâmetros!$B$8)*Parâmetros!$B$7)-(IF(Parâmetros!$B$15=1,0,Parâmetros!$B$14)*Parâmetros!$B$10))*0.075-Parâmetros!$B$29,IF(MAX(0,K12-(MIN(K12,Parâmetros!$B$8)*Parâmetros!$B$7)-(IF(Parâmetros!$B$15=1,0,Parâmetros!$B$14)*Parâmetros!$B$10))&lt;=Parâmetros!$B$27,MAX(0,K12-(MIN(K12,Parâmetros!$B$8)*Parâmetros!$B$7)-(IF(Parâmetros!$B$15=1,0,Parâmetros!$B$14)*Parâmetros!$B$10))*0.15-Parâmetros!$B$30,IF(MAX(0,K12-(MIN(K12,Parâmetros!$B$8)*Parâmetros!$B$7)-(IF(Parâmetros!$B$15=1,0,Parâmetros!$B$14)*Parâmetros!$B$10))&lt;=Parâmetros!$B$28,MAX(0,K12-(MIN(K12,Parâmetros!$B$8)*Parâmetros!$B$7)-(IF(Parâmetros!$B$15=1,0,Parâmetros!$B$14)*Parâmetros!$B$10))*0.225-Parâmetros!$B$31,MAX(0,K12-(MIN(K12,Parâmetros!$B$8)*Parâmetros!$B$7)-(IF(Parâmetros!$B$15=1,0,Parâmetros!$B$14)*Parâmetros!$B$10))*0.275-Parâmetros!$B$32)))))-IF(K12&lt;=Parâmetros!$B$34,Parâmetros!$B$35-Parâmetros!$B$36*K12,0)))</f>
        <v/>
      </c>
      <c r="Q12" s="18">
        <f>MAX(0,B12-N12-K12)</f>
        <v/>
      </c>
      <c r="R12" s="13">
        <f>B12-N12-O12-P12</f>
        <v/>
      </c>
      <c r="S12" s="23">
        <f>Parâmetros!$B$21</f>
        <v/>
      </c>
      <c r="T12" s="20">
        <f>IF(SUM(B5:B12)=0,0,SUM(S5:S12)/SUM(B5:B12))</f>
        <v/>
      </c>
      <c r="U12" s="21">
        <f>IF(T12&gt;=Parâmetros!$B$6,"III","V")</f>
        <v/>
      </c>
      <c r="V12" s="18">
        <f>IF(U12="III",B12*Parâmetros!$B$4,B12*Parâmetros!$B$5)</f>
        <v/>
      </c>
      <c r="W12" s="18">
        <f>MIN(S12,Parâmetros!$B$8)*Parâmetros!$B$7</f>
        <v/>
      </c>
      <c r="X12" s="18">
        <f>IF(S12&lt;=Parâmetros!$B$33,0,MAX(0,(IF(MAX(0,S12-(MIN(S12,Parâmetros!$B$8)*Parâmetros!$B$7)-(IF(Parâmetros!$B$15=1,0,Parâmetros!$B$14)*Parâmetros!$B$10))&lt;=Parâmetros!$B$25,0,IF(MAX(0,S12-(MIN(S12,Parâmetros!$B$8)*Parâmetros!$B$7)-(IF(Parâmetros!$B$15=1,0,Parâmetros!$B$14)*Parâmetros!$B$10))&lt;=Parâmetros!$B$26,MAX(0,S12-(MIN(S12,Parâmetros!$B$8)*Parâmetros!$B$7)-(IF(Parâmetros!$B$15=1,0,Parâmetros!$B$14)*Parâmetros!$B$10))*0.075-Parâmetros!$B$29,IF(MAX(0,S12-(MIN(S12,Parâmetros!$B$8)*Parâmetros!$B$7)-(IF(Parâmetros!$B$15=1,0,Parâmetros!$B$14)*Parâmetros!$B$10))&lt;=Parâmetros!$B$27,MAX(0,S12-(MIN(S12,Parâmetros!$B$8)*Parâmetros!$B$7)-(IF(Parâmetros!$B$15=1,0,Parâmetros!$B$14)*Parâmetros!$B$10))*0.15-Parâmetros!$B$30,IF(MAX(0,S12-(MIN(S12,Parâmetros!$B$8)*Parâmetros!$B$7)-(IF(Parâmetros!$B$15=1,0,Parâmetros!$B$14)*Parâmetros!$B$10))&lt;=Parâmetros!$B$28,MAX(0,S12-(MIN(S12,Parâmetros!$B$8)*Parâmetros!$B$7)-(IF(Parâmetros!$B$15=1,0,Parâmetros!$B$14)*Parâmetros!$B$10))*0.225-Parâmetros!$B$31,MAX(0,S12-(MIN(S12,Parâmetros!$B$8)*Parâmetros!$B$7)-(IF(Parâmetros!$B$15=1,0,Parâmetros!$B$14)*Parâmetros!$B$10))*0.275-Parâmetros!$B$32)))))-IF(S12&lt;=Parâmetros!$B$34,Parâmetros!$B$35-Parâmetros!$B$36*S12,0)))</f>
        <v/>
      </c>
      <c r="Y12" s="18">
        <f>MAX(0,B12-V12-S12)</f>
        <v/>
      </c>
      <c r="Z12" s="13">
        <f>B12-V12-W12-X12</f>
        <v/>
      </c>
    </row>
    <row r="13">
      <c r="A13" s="35" t="n">
        <v>45901</v>
      </c>
      <c r="B13" s="18">
        <f>Notas!G14</f>
        <v/>
      </c>
      <c r="C13" s="19">
        <f>Parâmetros!$B$19</f>
        <v/>
      </c>
      <c r="D13" s="20">
        <f>IF(SUM(B5:B13)=0,0,SUM(C5:C13)/SUM(B5:B13))</f>
        <v/>
      </c>
      <c r="E13" s="21">
        <f>IF(D13&gt;=Parâmetros!$B$6,"III","V")</f>
        <v/>
      </c>
      <c r="F13" s="18">
        <f>IF(E13="III",B13*Parâmetros!$B$4,B13*Parâmetros!$B$5)</f>
        <v/>
      </c>
      <c r="G13" s="18">
        <f>MIN(C13,Parâmetros!$B$8)*Parâmetros!$B$7</f>
        <v/>
      </c>
      <c r="H13" s="18">
        <f>IF(C13&lt;=Parâmetros!$B$33,0,MAX(0,(IF(MAX(0,C13-(MIN(C13,Parâmetros!$B$8)*Parâmetros!$B$7)-(IF(Parâmetros!$B$15=1,0,Parâmetros!$B$14)*Parâmetros!$B$10))&lt;=Parâmetros!$B$25,0,IF(MAX(0,C13-(MIN(C13,Parâmetros!$B$8)*Parâmetros!$B$7)-(IF(Parâmetros!$B$15=1,0,Parâmetros!$B$14)*Parâmetros!$B$10))&lt;=Parâmetros!$B$26,MAX(0,C13-(MIN(C13,Parâmetros!$B$8)*Parâmetros!$B$7)-(IF(Parâmetros!$B$15=1,0,Parâmetros!$B$14)*Parâmetros!$B$10))*0.075-Parâmetros!$B$29,IF(MAX(0,C13-(MIN(C13,Parâmetros!$B$8)*Parâmetros!$B$7)-(IF(Parâmetros!$B$15=1,0,Parâmetros!$B$14)*Parâmetros!$B$10))&lt;=Parâmetros!$B$27,MAX(0,C13-(MIN(C13,Parâmetros!$B$8)*Parâmetros!$B$7)-(IF(Parâmetros!$B$15=1,0,Parâmetros!$B$14)*Parâmetros!$B$10))*0.15-Parâmetros!$B$30,IF(MAX(0,C13-(MIN(C13,Parâmetros!$B$8)*Parâmetros!$B$7)-(IF(Parâmetros!$B$15=1,0,Parâmetros!$B$14)*Parâmetros!$B$10))&lt;=Parâmetros!$B$28,MAX(0,C13-(MIN(C13,Parâmetros!$B$8)*Parâmetros!$B$7)-(IF(Parâmetros!$B$15=1,0,Parâmetros!$B$14)*Parâmetros!$B$10))*0.225-Parâmetros!$B$31,MAX(0,C13-(MIN(C13,Parâmetros!$B$8)*Parâmetros!$B$7)-(IF(Parâmetros!$B$15=1,0,Parâmetros!$B$14)*Parâmetros!$B$10))*0.275-Parâmetros!$B$32)))))-IF(C13&lt;=Parâmetros!$B$34,Parâmetros!$B$35-Parâmetros!$B$36*C13,0)))</f>
        <v/>
      </c>
      <c r="I13" s="18">
        <f>MAX(0,B13-F13-C13)</f>
        <v/>
      </c>
      <c r="J13" s="13">
        <f>B13-F13-G13-H13</f>
        <v/>
      </c>
      <c r="K13" s="22">
        <f>IF(A13&lt;Parâmetros!$B$23,Parâmetros!$B$19,MAX(Parâmetros!$B$22,Parâmetros!$B$6*SUM(B5:B13)-SUM(K5:K12)))</f>
        <v/>
      </c>
      <c r="L13" s="20">
        <f>IF(SUM(B5:B13)=0,0,SUM(K5:K13)/SUM(B5:B13))</f>
        <v/>
      </c>
      <c r="M13" s="21">
        <f>IF(L13&gt;=Parâmetros!$B$6,"III","V")</f>
        <v/>
      </c>
      <c r="N13" s="18">
        <f>IF(M13="III",B13*Parâmetros!$B$4,B13*Parâmetros!$B$5)</f>
        <v/>
      </c>
      <c r="O13" s="18">
        <f>MIN(K13,Parâmetros!$B$8)*Parâmetros!$B$7</f>
        <v/>
      </c>
      <c r="P13" s="18">
        <f>IF(K13&lt;=Parâmetros!$B$33,0,MAX(0,(IF(MAX(0,K13-(MIN(K13,Parâmetros!$B$8)*Parâmetros!$B$7)-(IF(Parâmetros!$B$15=1,0,Parâmetros!$B$14)*Parâmetros!$B$10))&lt;=Parâmetros!$B$25,0,IF(MAX(0,K13-(MIN(K13,Parâmetros!$B$8)*Parâmetros!$B$7)-(IF(Parâmetros!$B$15=1,0,Parâmetros!$B$14)*Parâmetros!$B$10))&lt;=Parâmetros!$B$26,MAX(0,K13-(MIN(K13,Parâmetros!$B$8)*Parâmetros!$B$7)-(IF(Parâmetros!$B$15=1,0,Parâmetros!$B$14)*Parâmetros!$B$10))*0.075-Parâmetros!$B$29,IF(MAX(0,K13-(MIN(K13,Parâmetros!$B$8)*Parâmetros!$B$7)-(IF(Parâmetros!$B$15=1,0,Parâmetros!$B$14)*Parâmetros!$B$10))&lt;=Parâmetros!$B$27,MAX(0,K13-(MIN(K13,Parâmetros!$B$8)*Parâmetros!$B$7)-(IF(Parâmetros!$B$15=1,0,Parâmetros!$B$14)*Parâmetros!$B$10))*0.15-Parâmetros!$B$30,IF(MAX(0,K13-(MIN(K13,Parâmetros!$B$8)*Parâmetros!$B$7)-(IF(Parâmetros!$B$15=1,0,Parâmetros!$B$14)*Parâmetros!$B$10))&lt;=Parâmetros!$B$28,MAX(0,K13-(MIN(K13,Parâmetros!$B$8)*Parâmetros!$B$7)-(IF(Parâmetros!$B$15=1,0,Parâmetros!$B$14)*Parâmetros!$B$10))*0.225-Parâmetros!$B$31,MAX(0,K13-(MIN(K13,Parâmetros!$B$8)*Parâmetros!$B$7)-(IF(Parâmetros!$B$15=1,0,Parâmetros!$B$14)*Parâmetros!$B$10))*0.275-Parâmetros!$B$32)))))-IF(K13&lt;=Parâmetros!$B$34,Parâmetros!$B$35-Parâmetros!$B$36*K13,0)))</f>
        <v/>
      </c>
      <c r="Q13" s="18">
        <f>MAX(0,B13-N13-K13)</f>
        <v/>
      </c>
      <c r="R13" s="13">
        <f>B13-N13-O13-P13</f>
        <v/>
      </c>
      <c r="S13" s="23">
        <f>Parâmetros!$B$21</f>
        <v/>
      </c>
      <c r="T13" s="20">
        <f>IF(SUM(B5:B13)=0,0,SUM(S5:S13)/SUM(B5:B13))</f>
        <v/>
      </c>
      <c r="U13" s="21">
        <f>IF(T13&gt;=Parâmetros!$B$6,"III","V")</f>
        <v/>
      </c>
      <c r="V13" s="18">
        <f>IF(U13="III",B13*Parâmetros!$B$4,B13*Parâmetros!$B$5)</f>
        <v/>
      </c>
      <c r="W13" s="18">
        <f>MIN(S13,Parâmetros!$B$8)*Parâmetros!$B$7</f>
        <v/>
      </c>
      <c r="X13" s="18">
        <f>IF(S13&lt;=Parâmetros!$B$33,0,MAX(0,(IF(MAX(0,S13-(MIN(S13,Parâmetros!$B$8)*Parâmetros!$B$7)-(IF(Parâmetros!$B$15=1,0,Parâmetros!$B$14)*Parâmetros!$B$10))&lt;=Parâmetros!$B$25,0,IF(MAX(0,S13-(MIN(S13,Parâmetros!$B$8)*Parâmetros!$B$7)-(IF(Parâmetros!$B$15=1,0,Parâmetros!$B$14)*Parâmetros!$B$10))&lt;=Parâmetros!$B$26,MAX(0,S13-(MIN(S13,Parâmetros!$B$8)*Parâmetros!$B$7)-(IF(Parâmetros!$B$15=1,0,Parâmetros!$B$14)*Parâmetros!$B$10))*0.075-Parâmetros!$B$29,IF(MAX(0,S13-(MIN(S13,Parâmetros!$B$8)*Parâmetros!$B$7)-(IF(Parâmetros!$B$15=1,0,Parâmetros!$B$14)*Parâmetros!$B$10))&lt;=Parâmetros!$B$27,MAX(0,S13-(MIN(S13,Parâmetros!$B$8)*Parâmetros!$B$7)-(IF(Parâmetros!$B$15=1,0,Parâmetros!$B$14)*Parâmetros!$B$10))*0.15-Parâmetros!$B$30,IF(MAX(0,S13-(MIN(S13,Parâmetros!$B$8)*Parâmetros!$B$7)-(IF(Parâmetros!$B$15=1,0,Parâmetros!$B$14)*Parâmetros!$B$10))&lt;=Parâmetros!$B$28,MAX(0,S13-(MIN(S13,Parâmetros!$B$8)*Parâmetros!$B$7)-(IF(Parâmetros!$B$15=1,0,Parâmetros!$B$14)*Parâmetros!$B$10))*0.225-Parâmetros!$B$31,MAX(0,S13-(MIN(S13,Parâmetros!$B$8)*Parâmetros!$B$7)-(IF(Parâmetros!$B$15=1,0,Parâmetros!$B$14)*Parâmetros!$B$10))*0.275-Parâmetros!$B$32)))))-IF(S13&lt;=Parâmetros!$B$34,Parâmetros!$B$35-Parâmetros!$B$36*S13,0)))</f>
        <v/>
      </c>
      <c r="Y13" s="18">
        <f>MAX(0,B13-V13-S13)</f>
        <v/>
      </c>
      <c r="Z13" s="13">
        <f>B13-V13-W13-X13</f>
        <v/>
      </c>
    </row>
    <row r="14">
      <c r="A14" s="35" t="n">
        <v>45931</v>
      </c>
      <c r="B14" s="18">
        <f>Notas!G15</f>
        <v/>
      </c>
      <c r="C14" s="19">
        <f>Parâmetros!$B$19</f>
        <v/>
      </c>
      <c r="D14" s="20">
        <f>IF(SUM(B5:B14)=0,0,SUM(C5:C14)/SUM(B5:B14))</f>
        <v/>
      </c>
      <c r="E14" s="21">
        <f>IF(D14&gt;=Parâmetros!$B$6,"III","V")</f>
        <v/>
      </c>
      <c r="F14" s="18">
        <f>IF(E14="III",B14*Parâmetros!$B$4,B14*Parâmetros!$B$5)</f>
        <v/>
      </c>
      <c r="G14" s="18">
        <f>MIN(C14,Parâmetros!$B$8)*Parâmetros!$B$7</f>
        <v/>
      </c>
      <c r="H14" s="18">
        <f>IF(C14&lt;=Parâmetros!$B$33,0,MAX(0,(IF(MAX(0,C14-(MIN(C14,Parâmetros!$B$8)*Parâmetros!$B$7)-(IF(Parâmetros!$B$15=1,0,Parâmetros!$B$14)*Parâmetros!$B$10))&lt;=Parâmetros!$B$25,0,IF(MAX(0,C14-(MIN(C14,Parâmetros!$B$8)*Parâmetros!$B$7)-(IF(Parâmetros!$B$15=1,0,Parâmetros!$B$14)*Parâmetros!$B$10))&lt;=Parâmetros!$B$26,MAX(0,C14-(MIN(C14,Parâmetros!$B$8)*Parâmetros!$B$7)-(IF(Parâmetros!$B$15=1,0,Parâmetros!$B$14)*Parâmetros!$B$10))*0.075-Parâmetros!$B$29,IF(MAX(0,C14-(MIN(C14,Parâmetros!$B$8)*Parâmetros!$B$7)-(IF(Parâmetros!$B$15=1,0,Parâmetros!$B$14)*Parâmetros!$B$10))&lt;=Parâmetros!$B$27,MAX(0,C14-(MIN(C14,Parâmetros!$B$8)*Parâmetros!$B$7)-(IF(Parâmetros!$B$15=1,0,Parâmetros!$B$14)*Parâmetros!$B$10))*0.15-Parâmetros!$B$30,IF(MAX(0,C14-(MIN(C14,Parâmetros!$B$8)*Parâmetros!$B$7)-(IF(Parâmetros!$B$15=1,0,Parâmetros!$B$14)*Parâmetros!$B$10))&lt;=Parâmetros!$B$28,MAX(0,C14-(MIN(C14,Parâmetros!$B$8)*Parâmetros!$B$7)-(IF(Parâmetros!$B$15=1,0,Parâmetros!$B$14)*Parâmetros!$B$10))*0.225-Parâmetros!$B$31,MAX(0,C14-(MIN(C14,Parâmetros!$B$8)*Parâmetros!$B$7)-(IF(Parâmetros!$B$15=1,0,Parâmetros!$B$14)*Parâmetros!$B$10))*0.275-Parâmetros!$B$32)))))-IF(C14&lt;=Parâmetros!$B$34,Parâmetros!$B$35-Parâmetros!$B$36*C14,0)))</f>
        <v/>
      </c>
      <c r="I14" s="18">
        <f>MAX(0,B14-F14-C14)</f>
        <v/>
      </c>
      <c r="J14" s="13">
        <f>B14-F14-G14-H14</f>
        <v/>
      </c>
      <c r="K14" s="22">
        <f>IF(A14&lt;Parâmetros!$B$23,Parâmetros!$B$19,MAX(Parâmetros!$B$22,Parâmetros!$B$6*SUM(B5:B14)-SUM(K5:K13)))</f>
        <v/>
      </c>
      <c r="L14" s="20">
        <f>IF(SUM(B5:B14)=0,0,SUM(K5:K14)/SUM(B5:B14))</f>
        <v/>
      </c>
      <c r="M14" s="21">
        <f>IF(L14&gt;=Parâmetros!$B$6,"III","V")</f>
        <v/>
      </c>
      <c r="N14" s="18">
        <f>IF(M14="III",B14*Parâmetros!$B$4,B14*Parâmetros!$B$5)</f>
        <v/>
      </c>
      <c r="O14" s="18">
        <f>MIN(K14,Parâmetros!$B$8)*Parâmetros!$B$7</f>
        <v/>
      </c>
      <c r="P14" s="18">
        <f>IF(K14&lt;=Parâmetros!$B$33,0,MAX(0,(IF(MAX(0,K14-(MIN(K14,Parâmetros!$B$8)*Parâmetros!$B$7)-(IF(Parâmetros!$B$15=1,0,Parâmetros!$B$14)*Parâmetros!$B$10))&lt;=Parâmetros!$B$25,0,IF(MAX(0,K14-(MIN(K14,Parâmetros!$B$8)*Parâmetros!$B$7)-(IF(Parâmetros!$B$15=1,0,Parâmetros!$B$14)*Parâmetros!$B$10))&lt;=Parâmetros!$B$26,MAX(0,K14-(MIN(K14,Parâmetros!$B$8)*Parâmetros!$B$7)-(IF(Parâmetros!$B$15=1,0,Parâmetros!$B$14)*Parâmetros!$B$10))*0.075-Parâmetros!$B$29,IF(MAX(0,K14-(MIN(K14,Parâmetros!$B$8)*Parâmetros!$B$7)-(IF(Parâmetros!$B$15=1,0,Parâmetros!$B$14)*Parâmetros!$B$10))&lt;=Parâmetros!$B$27,MAX(0,K14-(MIN(K14,Parâmetros!$B$8)*Parâmetros!$B$7)-(IF(Parâmetros!$B$15=1,0,Parâmetros!$B$14)*Parâmetros!$B$10))*0.15-Parâmetros!$B$30,IF(MAX(0,K14-(MIN(K14,Parâmetros!$B$8)*Parâmetros!$B$7)-(IF(Parâmetros!$B$15=1,0,Parâmetros!$B$14)*Parâmetros!$B$10))&lt;=Parâmetros!$B$28,MAX(0,K14-(MIN(K14,Parâmetros!$B$8)*Parâmetros!$B$7)-(IF(Parâmetros!$B$15=1,0,Parâmetros!$B$14)*Parâmetros!$B$10))*0.225-Parâmetros!$B$31,MAX(0,K14-(MIN(K14,Parâmetros!$B$8)*Parâmetros!$B$7)-(IF(Parâmetros!$B$15=1,0,Parâmetros!$B$14)*Parâmetros!$B$10))*0.275-Parâmetros!$B$32)))))-IF(K14&lt;=Parâmetros!$B$34,Parâmetros!$B$35-Parâmetros!$B$36*K14,0)))</f>
        <v/>
      </c>
      <c r="Q14" s="18">
        <f>MAX(0,B14-N14-K14)</f>
        <v/>
      </c>
      <c r="R14" s="13">
        <f>B14-N14-O14-P14</f>
        <v/>
      </c>
      <c r="S14" s="23">
        <f>Parâmetros!$B$21</f>
        <v/>
      </c>
      <c r="T14" s="20">
        <f>IF(SUM(B5:B14)=0,0,SUM(S5:S14)/SUM(B5:B14))</f>
        <v/>
      </c>
      <c r="U14" s="21">
        <f>IF(T14&gt;=Parâmetros!$B$6,"III","V")</f>
        <v/>
      </c>
      <c r="V14" s="18">
        <f>IF(U14="III",B14*Parâmetros!$B$4,B14*Parâmetros!$B$5)</f>
        <v/>
      </c>
      <c r="W14" s="18">
        <f>MIN(S14,Parâmetros!$B$8)*Parâmetros!$B$7</f>
        <v/>
      </c>
      <c r="X14" s="18">
        <f>IF(S14&lt;=Parâmetros!$B$33,0,MAX(0,(IF(MAX(0,S14-(MIN(S14,Parâmetros!$B$8)*Parâmetros!$B$7)-(IF(Parâmetros!$B$15=1,0,Parâmetros!$B$14)*Parâmetros!$B$10))&lt;=Parâmetros!$B$25,0,IF(MAX(0,S14-(MIN(S14,Parâmetros!$B$8)*Parâmetros!$B$7)-(IF(Parâmetros!$B$15=1,0,Parâmetros!$B$14)*Parâmetros!$B$10))&lt;=Parâmetros!$B$26,MAX(0,S14-(MIN(S14,Parâmetros!$B$8)*Parâmetros!$B$7)-(IF(Parâmetros!$B$15=1,0,Parâmetros!$B$14)*Parâmetros!$B$10))*0.075-Parâmetros!$B$29,IF(MAX(0,S14-(MIN(S14,Parâmetros!$B$8)*Parâmetros!$B$7)-(IF(Parâmetros!$B$15=1,0,Parâmetros!$B$14)*Parâmetros!$B$10))&lt;=Parâmetros!$B$27,MAX(0,S14-(MIN(S14,Parâmetros!$B$8)*Parâmetros!$B$7)-(IF(Parâmetros!$B$15=1,0,Parâmetros!$B$14)*Parâmetros!$B$10))*0.15-Parâmetros!$B$30,IF(MAX(0,S14-(MIN(S14,Parâmetros!$B$8)*Parâmetros!$B$7)-(IF(Parâmetros!$B$15=1,0,Parâmetros!$B$14)*Parâmetros!$B$10))&lt;=Parâmetros!$B$28,MAX(0,S14-(MIN(S14,Parâmetros!$B$8)*Parâmetros!$B$7)-(IF(Parâmetros!$B$15=1,0,Parâmetros!$B$14)*Parâmetros!$B$10))*0.225-Parâmetros!$B$31,MAX(0,S14-(MIN(S14,Parâmetros!$B$8)*Parâmetros!$B$7)-(IF(Parâmetros!$B$15=1,0,Parâmetros!$B$14)*Parâmetros!$B$10))*0.275-Parâmetros!$B$32)))))-IF(S14&lt;=Parâmetros!$B$34,Parâmetros!$B$35-Parâmetros!$B$36*S14,0)))</f>
        <v/>
      </c>
      <c r="Y14" s="18">
        <f>MAX(0,B14-V14-S14)</f>
        <v/>
      </c>
      <c r="Z14" s="13">
        <f>B14-V14-W14-X14</f>
        <v/>
      </c>
    </row>
    <row r="15">
      <c r="A15" s="35" t="n">
        <v>45962</v>
      </c>
      <c r="B15" s="18">
        <f>Notas!G16</f>
        <v/>
      </c>
      <c r="C15" s="19">
        <f>Parâmetros!$B$19</f>
        <v/>
      </c>
      <c r="D15" s="20">
        <f>IF(SUM(B5:B15)=0,0,SUM(C5:C15)/SUM(B5:B15))</f>
        <v/>
      </c>
      <c r="E15" s="21">
        <f>IF(D15&gt;=Parâmetros!$B$6,"III","V")</f>
        <v/>
      </c>
      <c r="F15" s="18">
        <f>IF(E15="III",B15*Parâmetros!$B$4,B15*Parâmetros!$B$5)</f>
        <v/>
      </c>
      <c r="G15" s="18">
        <f>MIN(C15,Parâmetros!$B$8)*Parâmetros!$B$7</f>
        <v/>
      </c>
      <c r="H15" s="18">
        <f>IF(C15&lt;=Parâmetros!$B$33,0,MAX(0,(IF(MAX(0,C15-(MIN(C15,Parâmetros!$B$8)*Parâmetros!$B$7)-(IF(Parâmetros!$B$15=1,0,Parâmetros!$B$14)*Parâmetros!$B$10))&lt;=Parâmetros!$B$25,0,IF(MAX(0,C15-(MIN(C15,Parâmetros!$B$8)*Parâmetros!$B$7)-(IF(Parâmetros!$B$15=1,0,Parâmetros!$B$14)*Parâmetros!$B$10))&lt;=Parâmetros!$B$26,MAX(0,C15-(MIN(C15,Parâmetros!$B$8)*Parâmetros!$B$7)-(IF(Parâmetros!$B$15=1,0,Parâmetros!$B$14)*Parâmetros!$B$10))*0.075-Parâmetros!$B$29,IF(MAX(0,C15-(MIN(C15,Parâmetros!$B$8)*Parâmetros!$B$7)-(IF(Parâmetros!$B$15=1,0,Parâmetros!$B$14)*Parâmetros!$B$10))&lt;=Parâmetros!$B$27,MAX(0,C15-(MIN(C15,Parâmetros!$B$8)*Parâmetros!$B$7)-(IF(Parâmetros!$B$15=1,0,Parâmetros!$B$14)*Parâmetros!$B$10))*0.15-Parâmetros!$B$30,IF(MAX(0,C15-(MIN(C15,Parâmetros!$B$8)*Parâmetros!$B$7)-(IF(Parâmetros!$B$15=1,0,Parâmetros!$B$14)*Parâmetros!$B$10))&lt;=Parâmetros!$B$28,MAX(0,C15-(MIN(C15,Parâmetros!$B$8)*Parâmetros!$B$7)-(IF(Parâmetros!$B$15=1,0,Parâmetros!$B$14)*Parâmetros!$B$10))*0.225-Parâmetros!$B$31,MAX(0,C15-(MIN(C15,Parâmetros!$B$8)*Parâmetros!$B$7)-(IF(Parâmetros!$B$15=1,0,Parâmetros!$B$14)*Parâmetros!$B$10))*0.275-Parâmetros!$B$32)))))-IF(C15&lt;=Parâmetros!$B$34,Parâmetros!$B$35-Parâmetros!$B$36*C15,0)))</f>
        <v/>
      </c>
      <c r="I15" s="18">
        <f>MAX(0,B15-F15-C15)</f>
        <v/>
      </c>
      <c r="J15" s="13">
        <f>B15-F15-G15-H15</f>
        <v/>
      </c>
      <c r="K15" s="22">
        <f>IF(A15&lt;Parâmetros!$B$23,Parâmetros!$B$19,MAX(Parâmetros!$B$22,Parâmetros!$B$6*SUM(B5:B15)-SUM(K5:K14)))</f>
        <v/>
      </c>
      <c r="L15" s="20">
        <f>IF(SUM(B5:B15)=0,0,SUM(K5:K15)/SUM(B5:B15))</f>
        <v/>
      </c>
      <c r="M15" s="21">
        <f>IF(L15&gt;=Parâmetros!$B$6,"III","V")</f>
        <v/>
      </c>
      <c r="N15" s="18">
        <f>IF(M15="III",B15*Parâmetros!$B$4,B15*Parâmetros!$B$5)</f>
        <v/>
      </c>
      <c r="O15" s="18">
        <f>MIN(K15,Parâmetros!$B$8)*Parâmetros!$B$7</f>
        <v/>
      </c>
      <c r="P15" s="18">
        <f>IF(K15&lt;=Parâmetros!$B$33,0,MAX(0,(IF(MAX(0,K15-(MIN(K15,Parâmetros!$B$8)*Parâmetros!$B$7)-(IF(Parâmetros!$B$15=1,0,Parâmetros!$B$14)*Parâmetros!$B$10))&lt;=Parâmetros!$B$25,0,IF(MAX(0,K15-(MIN(K15,Parâmetros!$B$8)*Parâmetros!$B$7)-(IF(Parâmetros!$B$15=1,0,Parâmetros!$B$14)*Parâmetros!$B$10))&lt;=Parâmetros!$B$26,MAX(0,K15-(MIN(K15,Parâmetros!$B$8)*Parâmetros!$B$7)-(IF(Parâmetros!$B$15=1,0,Parâmetros!$B$14)*Parâmetros!$B$10))*0.075-Parâmetros!$B$29,IF(MAX(0,K15-(MIN(K15,Parâmetros!$B$8)*Parâmetros!$B$7)-(IF(Parâmetros!$B$15=1,0,Parâmetros!$B$14)*Parâmetros!$B$10))&lt;=Parâmetros!$B$27,MAX(0,K15-(MIN(K15,Parâmetros!$B$8)*Parâmetros!$B$7)-(IF(Parâmetros!$B$15=1,0,Parâmetros!$B$14)*Parâmetros!$B$10))*0.15-Parâmetros!$B$30,IF(MAX(0,K15-(MIN(K15,Parâmetros!$B$8)*Parâmetros!$B$7)-(IF(Parâmetros!$B$15=1,0,Parâmetros!$B$14)*Parâmetros!$B$10))&lt;=Parâmetros!$B$28,MAX(0,K15-(MIN(K15,Parâmetros!$B$8)*Parâmetros!$B$7)-(IF(Parâmetros!$B$15=1,0,Parâmetros!$B$14)*Parâmetros!$B$10))*0.225-Parâmetros!$B$31,MAX(0,K15-(MIN(K15,Parâmetros!$B$8)*Parâmetros!$B$7)-(IF(Parâmetros!$B$15=1,0,Parâmetros!$B$14)*Parâmetros!$B$10))*0.275-Parâmetros!$B$32)))))-IF(K15&lt;=Parâmetros!$B$34,Parâmetros!$B$35-Parâmetros!$B$36*K15,0)))</f>
        <v/>
      </c>
      <c r="Q15" s="18">
        <f>MAX(0,B15-N15-K15)</f>
        <v/>
      </c>
      <c r="R15" s="13">
        <f>B15-N15-O15-P15</f>
        <v/>
      </c>
      <c r="S15" s="23">
        <f>Parâmetros!$B$21</f>
        <v/>
      </c>
      <c r="T15" s="20">
        <f>IF(SUM(B5:B15)=0,0,SUM(S5:S15)/SUM(B5:B15))</f>
        <v/>
      </c>
      <c r="U15" s="21">
        <f>IF(T15&gt;=Parâmetros!$B$6,"III","V")</f>
        <v/>
      </c>
      <c r="V15" s="18">
        <f>IF(U15="III",B15*Parâmetros!$B$4,B15*Parâmetros!$B$5)</f>
        <v/>
      </c>
      <c r="W15" s="18">
        <f>MIN(S15,Parâmetros!$B$8)*Parâmetros!$B$7</f>
        <v/>
      </c>
      <c r="X15" s="18">
        <f>IF(S15&lt;=Parâmetros!$B$33,0,MAX(0,(IF(MAX(0,S15-(MIN(S15,Parâmetros!$B$8)*Parâmetros!$B$7)-(IF(Parâmetros!$B$15=1,0,Parâmetros!$B$14)*Parâmetros!$B$10))&lt;=Parâmetros!$B$25,0,IF(MAX(0,S15-(MIN(S15,Parâmetros!$B$8)*Parâmetros!$B$7)-(IF(Parâmetros!$B$15=1,0,Parâmetros!$B$14)*Parâmetros!$B$10))&lt;=Parâmetros!$B$26,MAX(0,S15-(MIN(S15,Parâmetros!$B$8)*Parâmetros!$B$7)-(IF(Parâmetros!$B$15=1,0,Parâmetros!$B$14)*Parâmetros!$B$10))*0.075-Parâmetros!$B$29,IF(MAX(0,S15-(MIN(S15,Parâmetros!$B$8)*Parâmetros!$B$7)-(IF(Parâmetros!$B$15=1,0,Parâmetros!$B$14)*Parâmetros!$B$10))&lt;=Parâmetros!$B$27,MAX(0,S15-(MIN(S15,Parâmetros!$B$8)*Parâmetros!$B$7)-(IF(Parâmetros!$B$15=1,0,Parâmetros!$B$14)*Parâmetros!$B$10))*0.15-Parâmetros!$B$30,IF(MAX(0,S15-(MIN(S15,Parâmetros!$B$8)*Parâmetros!$B$7)-(IF(Parâmetros!$B$15=1,0,Parâmetros!$B$14)*Parâmetros!$B$10))&lt;=Parâmetros!$B$28,MAX(0,S15-(MIN(S15,Parâmetros!$B$8)*Parâmetros!$B$7)-(IF(Parâmetros!$B$15=1,0,Parâmetros!$B$14)*Parâmetros!$B$10))*0.225-Parâmetros!$B$31,MAX(0,S15-(MIN(S15,Parâmetros!$B$8)*Parâmetros!$B$7)-(IF(Parâmetros!$B$15=1,0,Parâmetros!$B$14)*Parâmetros!$B$10))*0.275-Parâmetros!$B$32)))))-IF(S15&lt;=Parâmetros!$B$34,Parâmetros!$B$35-Parâmetros!$B$36*S15,0)))</f>
        <v/>
      </c>
      <c r="Y15" s="18">
        <f>MAX(0,B15-V15-S15)</f>
        <v/>
      </c>
      <c r="Z15" s="13">
        <f>B15-V15-W15-X15</f>
        <v/>
      </c>
    </row>
    <row r="16">
      <c r="A16" s="35" t="n">
        <v>45992</v>
      </c>
      <c r="B16" s="18">
        <f>Notas!G17</f>
        <v/>
      </c>
      <c r="C16" s="19">
        <f>Parâmetros!$B$19</f>
        <v/>
      </c>
      <c r="D16" s="20">
        <f>IF(SUM(B5:B16)=0,0,SUM(C5:C16)/SUM(B5:B16))</f>
        <v/>
      </c>
      <c r="E16" s="21">
        <f>IF(D16&gt;=Parâmetros!$B$6,"III","V")</f>
        <v/>
      </c>
      <c r="F16" s="18">
        <f>IF(E16="III",B16*Parâmetros!$B$4,B16*Parâmetros!$B$5)</f>
        <v/>
      </c>
      <c r="G16" s="18">
        <f>MIN(C16,Parâmetros!$B$8)*Parâmetros!$B$7</f>
        <v/>
      </c>
      <c r="H16" s="18">
        <f>IF(C16&lt;=Parâmetros!$B$33,0,MAX(0,(IF(MAX(0,C16-(MIN(C16,Parâmetros!$B$8)*Parâmetros!$B$7)-(IF(Parâmetros!$B$15=1,0,Parâmetros!$B$14)*Parâmetros!$B$10))&lt;=Parâmetros!$B$25,0,IF(MAX(0,C16-(MIN(C16,Parâmetros!$B$8)*Parâmetros!$B$7)-(IF(Parâmetros!$B$15=1,0,Parâmetros!$B$14)*Parâmetros!$B$10))&lt;=Parâmetros!$B$26,MAX(0,C16-(MIN(C16,Parâmetros!$B$8)*Parâmetros!$B$7)-(IF(Parâmetros!$B$15=1,0,Parâmetros!$B$14)*Parâmetros!$B$10))*0.075-Parâmetros!$B$29,IF(MAX(0,C16-(MIN(C16,Parâmetros!$B$8)*Parâmetros!$B$7)-(IF(Parâmetros!$B$15=1,0,Parâmetros!$B$14)*Parâmetros!$B$10))&lt;=Parâmetros!$B$27,MAX(0,C16-(MIN(C16,Parâmetros!$B$8)*Parâmetros!$B$7)-(IF(Parâmetros!$B$15=1,0,Parâmetros!$B$14)*Parâmetros!$B$10))*0.15-Parâmetros!$B$30,IF(MAX(0,C16-(MIN(C16,Parâmetros!$B$8)*Parâmetros!$B$7)-(IF(Parâmetros!$B$15=1,0,Parâmetros!$B$14)*Parâmetros!$B$10))&lt;=Parâmetros!$B$28,MAX(0,C16-(MIN(C16,Parâmetros!$B$8)*Parâmetros!$B$7)-(IF(Parâmetros!$B$15=1,0,Parâmetros!$B$14)*Parâmetros!$B$10))*0.225-Parâmetros!$B$31,MAX(0,C16-(MIN(C16,Parâmetros!$B$8)*Parâmetros!$B$7)-(IF(Parâmetros!$B$15=1,0,Parâmetros!$B$14)*Parâmetros!$B$10))*0.275-Parâmetros!$B$32)))))-IF(C16&lt;=Parâmetros!$B$34,Parâmetros!$B$35-Parâmetros!$B$36*C16,0)))</f>
        <v/>
      </c>
      <c r="I16" s="18">
        <f>MAX(0,B16-F16-C16)</f>
        <v/>
      </c>
      <c r="J16" s="13">
        <f>B16-F16-G16-H16</f>
        <v/>
      </c>
      <c r="K16" s="22">
        <f>IF(A16&lt;Parâmetros!$B$23,Parâmetros!$B$19,MAX(Parâmetros!$B$22,Parâmetros!$B$6*SUM(B5:B16)-SUM(K5:K15)))</f>
        <v/>
      </c>
      <c r="L16" s="20">
        <f>IF(SUM(B5:B16)=0,0,SUM(K5:K16)/SUM(B5:B16))</f>
        <v/>
      </c>
      <c r="M16" s="21">
        <f>IF(L16&gt;=Parâmetros!$B$6,"III","V")</f>
        <v/>
      </c>
      <c r="N16" s="18">
        <f>IF(M16="III",B16*Parâmetros!$B$4,B16*Parâmetros!$B$5)</f>
        <v/>
      </c>
      <c r="O16" s="18">
        <f>MIN(K16,Parâmetros!$B$8)*Parâmetros!$B$7</f>
        <v/>
      </c>
      <c r="P16" s="18">
        <f>IF(K16&lt;=Parâmetros!$B$33,0,MAX(0,(IF(MAX(0,K16-(MIN(K16,Parâmetros!$B$8)*Parâmetros!$B$7)-(IF(Parâmetros!$B$15=1,0,Parâmetros!$B$14)*Parâmetros!$B$10))&lt;=Parâmetros!$B$25,0,IF(MAX(0,K16-(MIN(K16,Parâmetros!$B$8)*Parâmetros!$B$7)-(IF(Parâmetros!$B$15=1,0,Parâmetros!$B$14)*Parâmetros!$B$10))&lt;=Parâmetros!$B$26,MAX(0,K16-(MIN(K16,Parâmetros!$B$8)*Parâmetros!$B$7)-(IF(Parâmetros!$B$15=1,0,Parâmetros!$B$14)*Parâmetros!$B$10))*0.075-Parâmetros!$B$29,IF(MAX(0,K16-(MIN(K16,Parâmetros!$B$8)*Parâmetros!$B$7)-(IF(Parâmetros!$B$15=1,0,Parâmetros!$B$14)*Parâmetros!$B$10))&lt;=Parâmetros!$B$27,MAX(0,K16-(MIN(K16,Parâmetros!$B$8)*Parâmetros!$B$7)-(IF(Parâmetros!$B$15=1,0,Parâmetros!$B$14)*Parâmetros!$B$10))*0.15-Parâmetros!$B$30,IF(MAX(0,K16-(MIN(K16,Parâmetros!$B$8)*Parâmetros!$B$7)-(IF(Parâmetros!$B$15=1,0,Parâmetros!$B$14)*Parâmetros!$B$10))&lt;=Parâmetros!$B$28,MAX(0,K16-(MIN(K16,Parâmetros!$B$8)*Parâmetros!$B$7)-(IF(Parâmetros!$B$15=1,0,Parâmetros!$B$14)*Parâmetros!$B$10))*0.225-Parâmetros!$B$31,MAX(0,K16-(MIN(K16,Parâmetros!$B$8)*Parâmetros!$B$7)-(IF(Parâmetros!$B$15=1,0,Parâmetros!$B$14)*Parâmetros!$B$10))*0.275-Parâmetros!$B$32)))))-IF(K16&lt;=Parâmetros!$B$34,Parâmetros!$B$35-Parâmetros!$B$36*K16,0)))</f>
        <v/>
      </c>
      <c r="Q16" s="18">
        <f>MAX(0,B16-N16-K16)</f>
        <v/>
      </c>
      <c r="R16" s="13">
        <f>B16-N16-O16-P16</f>
        <v/>
      </c>
      <c r="S16" s="23">
        <f>Parâmetros!$B$21</f>
        <v/>
      </c>
      <c r="T16" s="20">
        <f>IF(SUM(B5:B16)=0,0,SUM(S5:S16)/SUM(B5:B16))</f>
        <v/>
      </c>
      <c r="U16" s="21">
        <f>IF(T16&gt;=Parâmetros!$B$6,"III","V")</f>
        <v/>
      </c>
      <c r="V16" s="18">
        <f>IF(U16="III",B16*Parâmetros!$B$4,B16*Parâmetros!$B$5)</f>
        <v/>
      </c>
      <c r="W16" s="18">
        <f>MIN(S16,Parâmetros!$B$8)*Parâmetros!$B$7</f>
        <v/>
      </c>
      <c r="X16" s="18">
        <f>IF(S16&lt;=Parâmetros!$B$33,0,MAX(0,(IF(MAX(0,S16-(MIN(S16,Parâmetros!$B$8)*Parâmetros!$B$7)-(IF(Parâmetros!$B$15=1,0,Parâmetros!$B$14)*Parâmetros!$B$10))&lt;=Parâmetros!$B$25,0,IF(MAX(0,S16-(MIN(S16,Parâmetros!$B$8)*Parâmetros!$B$7)-(IF(Parâmetros!$B$15=1,0,Parâmetros!$B$14)*Parâmetros!$B$10))&lt;=Parâmetros!$B$26,MAX(0,S16-(MIN(S16,Parâmetros!$B$8)*Parâmetros!$B$7)-(IF(Parâmetros!$B$15=1,0,Parâmetros!$B$14)*Parâmetros!$B$10))*0.075-Parâmetros!$B$29,IF(MAX(0,S16-(MIN(S16,Parâmetros!$B$8)*Parâmetros!$B$7)-(IF(Parâmetros!$B$15=1,0,Parâmetros!$B$14)*Parâmetros!$B$10))&lt;=Parâmetros!$B$27,MAX(0,S16-(MIN(S16,Parâmetros!$B$8)*Parâmetros!$B$7)-(IF(Parâmetros!$B$15=1,0,Parâmetros!$B$14)*Parâmetros!$B$10))*0.15-Parâmetros!$B$30,IF(MAX(0,S16-(MIN(S16,Parâmetros!$B$8)*Parâmetros!$B$7)-(IF(Parâmetros!$B$15=1,0,Parâmetros!$B$14)*Parâmetros!$B$10))&lt;=Parâmetros!$B$28,MAX(0,S16-(MIN(S16,Parâmetros!$B$8)*Parâmetros!$B$7)-(IF(Parâmetros!$B$15=1,0,Parâmetros!$B$14)*Parâmetros!$B$10))*0.225-Parâmetros!$B$31,MAX(0,S16-(MIN(S16,Parâmetros!$B$8)*Parâmetros!$B$7)-(IF(Parâmetros!$B$15=1,0,Parâmetros!$B$14)*Parâmetros!$B$10))*0.275-Parâmetros!$B$32)))))-IF(S16&lt;=Parâmetros!$B$34,Parâmetros!$B$35-Parâmetros!$B$36*S16,0)))</f>
        <v/>
      </c>
      <c r="Y16" s="18">
        <f>MAX(0,B16-V16-S16)</f>
        <v/>
      </c>
      <c r="Z16" s="13">
        <f>B16-V16-W16-X16</f>
        <v/>
      </c>
    </row>
    <row r="17">
      <c r="A17" s="35" t="n">
        <v>46023</v>
      </c>
      <c r="B17" s="18">
        <f>Notas!G18</f>
        <v/>
      </c>
      <c r="C17" s="19">
        <f>Parâmetros!$B$19</f>
        <v/>
      </c>
      <c r="D17" s="20">
        <f>IF(SUM(B6:B17)=0,0,SUM(C6:C17)/SUM(B6:B17))</f>
        <v/>
      </c>
      <c r="E17" s="21">
        <f>IF(D17&gt;=Parâmetros!$B$6,"III","V")</f>
        <v/>
      </c>
      <c r="F17" s="18">
        <f>IF(E17="III",B17*Parâmetros!$B$4,B17*Parâmetros!$B$5)</f>
        <v/>
      </c>
      <c r="G17" s="18">
        <f>MIN(C17,Parâmetros!$B$8)*Parâmetros!$B$7</f>
        <v/>
      </c>
      <c r="H17" s="18">
        <f>IF(C17&lt;=Parâmetros!$B$33,0,MAX(0,(IF(MAX(0,C17-(MIN(C17,Parâmetros!$B$8)*Parâmetros!$B$7)-(IF(Parâmetros!$B$15=1,0,Parâmetros!$B$14)*Parâmetros!$B$10))&lt;=Parâmetros!$B$25,0,IF(MAX(0,C17-(MIN(C17,Parâmetros!$B$8)*Parâmetros!$B$7)-(IF(Parâmetros!$B$15=1,0,Parâmetros!$B$14)*Parâmetros!$B$10))&lt;=Parâmetros!$B$26,MAX(0,C17-(MIN(C17,Parâmetros!$B$8)*Parâmetros!$B$7)-(IF(Parâmetros!$B$15=1,0,Parâmetros!$B$14)*Parâmetros!$B$10))*0.075-Parâmetros!$B$29,IF(MAX(0,C17-(MIN(C17,Parâmetros!$B$8)*Parâmetros!$B$7)-(IF(Parâmetros!$B$15=1,0,Parâmetros!$B$14)*Parâmetros!$B$10))&lt;=Parâmetros!$B$27,MAX(0,C17-(MIN(C17,Parâmetros!$B$8)*Parâmetros!$B$7)-(IF(Parâmetros!$B$15=1,0,Parâmetros!$B$14)*Parâmetros!$B$10))*0.15-Parâmetros!$B$30,IF(MAX(0,C17-(MIN(C17,Parâmetros!$B$8)*Parâmetros!$B$7)-(IF(Parâmetros!$B$15=1,0,Parâmetros!$B$14)*Parâmetros!$B$10))&lt;=Parâmetros!$B$28,MAX(0,C17-(MIN(C17,Parâmetros!$B$8)*Parâmetros!$B$7)-(IF(Parâmetros!$B$15=1,0,Parâmetros!$B$14)*Parâmetros!$B$10))*0.225-Parâmetros!$B$31,MAX(0,C17-(MIN(C17,Parâmetros!$B$8)*Parâmetros!$B$7)-(IF(Parâmetros!$B$15=1,0,Parâmetros!$B$14)*Parâmetros!$B$10))*0.275-Parâmetros!$B$32)))))-IF(C17&lt;=Parâmetros!$B$34,Parâmetros!$B$35-Parâmetros!$B$36*C17,0)))</f>
        <v/>
      </c>
      <c r="I17" s="18">
        <f>MAX(0,B17-F17-C17)</f>
        <v/>
      </c>
      <c r="J17" s="13">
        <f>B17-F17-G17-H17</f>
        <v/>
      </c>
      <c r="K17" s="22">
        <f>IF(A17&lt;Parâmetros!$B$23,Parâmetros!$B$19,MAX(Parâmetros!$B$22,Parâmetros!$B$6*SUM(B6:B17)-SUM(K6:K16)))</f>
        <v/>
      </c>
      <c r="L17" s="20">
        <f>IF(SUM(B6:B17)=0,0,SUM(K6:K17)/SUM(B6:B17))</f>
        <v/>
      </c>
      <c r="M17" s="21">
        <f>IF(L17&gt;=Parâmetros!$B$6,"III","V")</f>
        <v/>
      </c>
      <c r="N17" s="18">
        <f>IF(M17="III",B17*Parâmetros!$B$4,B17*Parâmetros!$B$5)</f>
        <v/>
      </c>
      <c r="O17" s="18">
        <f>MIN(K17,Parâmetros!$B$8)*Parâmetros!$B$7</f>
        <v/>
      </c>
      <c r="P17" s="18">
        <f>IF(K17&lt;=Parâmetros!$B$33,0,MAX(0,(IF(MAX(0,K17-(MIN(K17,Parâmetros!$B$8)*Parâmetros!$B$7)-(IF(Parâmetros!$B$15=1,0,Parâmetros!$B$14)*Parâmetros!$B$10))&lt;=Parâmetros!$B$25,0,IF(MAX(0,K17-(MIN(K17,Parâmetros!$B$8)*Parâmetros!$B$7)-(IF(Parâmetros!$B$15=1,0,Parâmetros!$B$14)*Parâmetros!$B$10))&lt;=Parâmetros!$B$26,MAX(0,K17-(MIN(K17,Parâmetros!$B$8)*Parâmetros!$B$7)-(IF(Parâmetros!$B$15=1,0,Parâmetros!$B$14)*Parâmetros!$B$10))*0.075-Parâmetros!$B$29,IF(MAX(0,K17-(MIN(K17,Parâmetros!$B$8)*Parâmetros!$B$7)-(IF(Parâmetros!$B$15=1,0,Parâmetros!$B$14)*Parâmetros!$B$10))&lt;=Parâmetros!$B$27,MAX(0,K17-(MIN(K17,Parâmetros!$B$8)*Parâmetros!$B$7)-(IF(Parâmetros!$B$15=1,0,Parâmetros!$B$14)*Parâmetros!$B$10))*0.15-Parâmetros!$B$30,IF(MAX(0,K17-(MIN(K17,Parâmetros!$B$8)*Parâmetros!$B$7)-(IF(Parâmetros!$B$15=1,0,Parâmetros!$B$14)*Parâmetros!$B$10))&lt;=Parâmetros!$B$28,MAX(0,K17-(MIN(K17,Parâmetros!$B$8)*Parâmetros!$B$7)-(IF(Parâmetros!$B$15=1,0,Parâmetros!$B$14)*Parâmetros!$B$10))*0.225-Parâmetros!$B$31,MAX(0,K17-(MIN(K17,Parâmetros!$B$8)*Parâmetros!$B$7)-(IF(Parâmetros!$B$15=1,0,Parâmetros!$B$14)*Parâmetros!$B$10))*0.275-Parâmetros!$B$32)))))-IF(K17&lt;=Parâmetros!$B$34,Parâmetros!$B$35-Parâmetros!$B$36*K17,0)))</f>
        <v/>
      </c>
      <c r="Q17" s="18">
        <f>MAX(0,B17-N17-K17)</f>
        <v/>
      </c>
      <c r="R17" s="13">
        <f>B17-N17-O17-P17</f>
        <v/>
      </c>
      <c r="S17" s="23">
        <f>Parâmetros!$B$21</f>
        <v/>
      </c>
      <c r="T17" s="20">
        <f>IF(SUM(B6:B17)=0,0,SUM(S6:S17)/SUM(B6:B17))</f>
        <v/>
      </c>
      <c r="U17" s="21">
        <f>IF(T17&gt;=Parâmetros!$B$6,"III","V")</f>
        <v/>
      </c>
      <c r="V17" s="18">
        <f>IF(U17="III",B17*Parâmetros!$B$4,B17*Parâmetros!$B$5)</f>
        <v/>
      </c>
      <c r="W17" s="18">
        <f>MIN(S17,Parâmetros!$B$8)*Parâmetros!$B$7</f>
        <v/>
      </c>
      <c r="X17" s="18">
        <f>IF(S17&lt;=Parâmetros!$B$33,0,MAX(0,(IF(MAX(0,S17-(MIN(S17,Parâmetros!$B$8)*Parâmetros!$B$7)-(IF(Parâmetros!$B$15=1,0,Parâmetros!$B$14)*Parâmetros!$B$10))&lt;=Parâmetros!$B$25,0,IF(MAX(0,S17-(MIN(S17,Parâmetros!$B$8)*Parâmetros!$B$7)-(IF(Parâmetros!$B$15=1,0,Parâmetros!$B$14)*Parâmetros!$B$10))&lt;=Parâmetros!$B$26,MAX(0,S17-(MIN(S17,Parâmetros!$B$8)*Parâmetros!$B$7)-(IF(Parâmetros!$B$15=1,0,Parâmetros!$B$14)*Parâmetros!$B$10))*0.075-Parâmetros!$B$29,IF(MAX(0,S17-(MIN(S17,Parâmetros!$B$8)*Parâmetros!$B$7)-(IF(Parâmetros!$B$15=1,0,Parâmetros!$B$14)*Parâmetros!$B$10))&lt;=Parâmetros!$B$27,MAX(0,S17-(MIN(S17,Parâmetros!$B$8)*Parâmetros!$B$7)-(IF(Parâmetros!$B$15=1,0,Parâmetros!$B$14)*Parâmetros!$B$10))*0.15-Parâmetros!$B$30,IF(MAX(0,S17-(MIN(S17,Parâmetros!$B$8)*Parâmetros!$B$7)-(IF(Parâmetros!$B$15=1,0,Parâmetros!$B$14)*Parâmetros!$B$10))&lt;=Parâmetros!$B$28,MAX(0,S17-(MIN(S17,Parâmetros!$B$8)*Parâmetros!$B$7)-(IF(Parâmetros!$B$15=1,0,Parâmetros!$B$14)*Parâmetros!$B$10))*0.225-Parâmetros!$B$31,MAX(0,S17-(MIN(S17,Parâmetros!$B$8)*Parâmetros!$B$7)-(IF(Parâmetros!$B$15=1,0,Parâmetros!$B$14)*Parâmetros!$B$10))*0.275-Parâmetros!$B$32)))))-IF(S17&lt;=Parâmetros!$B$34,Parâmetros!$B$35-Parâmetros!$B$36*S17,0)))</f>
        <v/>
      </c>
      <c r="Y17" s="18">
        <f>MAX(0,B17-V17-S17)</f>
        <v/>
      </c>
      <c r="Z17" s="13">
        <f>B17-V17-W17-X17</f>
        <v/>
      </c>
    </row>
    <row r="18">
      <c r="A18" s="35" t="n">
        <v>46054</v>
      </c>
      <c r="B18" s="18">
        <f>Notas!G19</f>
        <v/>
      </c>
      <c r="C18" s="19">
        <f>Parâmetros!$B$19</f>
        <v/>
      </c>
      <c r="D18" s="20">
        <f>IF(SUM(B7:B18)=0,0,SUM(C7:C18)/SUM(B7:B18))</f>
        <v/>
      </c>
      <c r="E18" s="21">
        <f>IF(D18&gt;=Parâmetros!$B$6,"III","V")</f>
        <v/>
      </c>
      <c r="F18" s="18">
        <f>IF(E18="III",B18*Parâmetros!$B$4,B18*Parâmetros!$B$5)</f>
        <v/>
      </c>
      <c r="G18" s="18">
        <f>MIN(C18,Parâmetros!$B$8)*Parâmetros!$B$7</f>
        <v/>
      </c>
      <c r="H18" s="18">
        <f>IF(C18&lt;=Parâmetros!$B$33,0,MAX(0,(IF(MAX(0,C18-(MIN(C18,Parâmetros!$B$8)*Parâmetros!$B$7)-(IF(Parâmetros!$B$15=1,0,Parâmetros!$B$14)*Parâmetros!$B$10))&lt;=Parâmetros!$B$25,0,IF(MAX(0,C18-(MIN(C18,Parâmetros!$B$8)*Parâmetros!$B$7)-(IF(Parâmetros!$B$15=1,0,Parâmetros!$B$14)*Parâmetros!$B$10))&lt;=Parâmetros!$B$26,MAX(0,C18-(MIN(C18,Parâmetros!$B$8)*Parâmetros!$B$7)-(IF(Parâmetros!$B$15=1,0,Parâmetros!$B$14)*Parâmetros!$B$10))*0.075-Parâmetros!$B$29,IF(MAX(0,C18-(MIN(C18,Parâmetros!$B$8)*Parâmetros!$B$7)-(IF(Parâmetros!$B$15=1,0,Parâmetros!$B$14)*Parâmetros!$B$10))&lt;=Parâmetros!$B$27,MAX(0,C18-(MIN(C18,Parâmetros!$B$8)*Parâmetros!$B$7)-(IF(Parâmetros!$B$15=1,0,Parâmetros!$B$14)*Parâmetros!$B$10))*0.15-Parâmetros!$B$30,IF(MAX(0,C18-(MIN(C18,Parâmetros!$B$8)*Parâmetros!$B$7)-(IF(Parâmetros!$B$15=1,0,Parâmetros!$B$14)*Parâmetros!$B$10))&lt;=Parâmetros!$B$28,MAX(0,C18-(MIN(C18,Parâmetros!$B$8)*Parâmetros!$B$7)-(IF(Parâmetros!$B$15=1,0,Parâmetros!$B$14)*Parâmetros!$B$10))*0.225-Parâmetros!$B$31,MAX(0,C18-(MIN(C18,Parâmetros!$B$8)*Parâmetros!$B$7)-(IF(Parâmetros!$B$15=1,0,Parâmetros!$B$14)*Parâmetros!$B$10))*0.275-Parâmetros!$B$32)))))-IF(C18&lt;=Parâmetros!$B$34,Parâmetros!$B$35-Parâmetros!$B$36*C18,0)))</f>
        <v/>
      </c>
      <c r="I18" s="18">
        <f>MAX(0,B18-F18-C18)</f>
        <v/>
      </c>
      <c r="J18" s="13">
        <f>B18-F18-G18-H18</f>
        <v/>
      </c>
      <c r="K18" s="22">
        <f>IF(A18&lt;Parâmetros!$B$23,Parâmetros!$B$19,MAX(Parâmetros!$B$22,Parâmetros!$B$6*SUM(B7:B18)-SUM(K7:K17)))</f>
        <v/>
      </c>
      <c r="L18" s="20">
        <f>IF(SUM(B7:B18)=0,0,SUM(K7:K18)/SUM(B7:B18))</f>
        <v/>
      </c>
      <c r="M18" s="21">
        <f>IF(L18&gt;=Parâmetros!$B$6,"III","V")</f>
        <v/>
      </c>
      <c r="N18" s="18">
        <f>IF(M18="III",B18*Parâmetros!$B$4,B18*Parâmetros!$B$5)</f>
        <v/>
      </c>
      <c r="O18" s="18">
        <f>MIN(K18,Parâmetros!$B$8)*Parâmetros!$B$7</f>
        <v/>
      </c>
      <c r="P18" s="18">
        <f>IF(K18&lt;=Parâmetros!$B$33,0,MAX(0,(IF(MAX(0,K18-(MIN(K18,Parâmetros!$B$8)*Parâmetros!$B$7)-(IF(Parâmetros!$B$15=1,0,Parâmetros!$B$14)*Parâmetros!$B$10))&lt;=Parâmetros!$B$25,0,IF(MAX(0,K18-(MIN(K18,Parâmetros!$B$8)*Parâmetros!$B$7)-(IF(Parâmetros!$B$15=1,0,Parâmetros!$B$14)*Parâmetros!$B$10))&lt;=Parâmetros!$B$26,MAX(0,K18-(MIN(K18,Parâmetros!$B$8)*Parâmetros!$B$7)-(IF(Parâmetros!$B$15=1,0,Parâmetros!$B$14)*Parâmetros!$B$10))*0.075-Parâmetros!$B$29,IF(MAX(0,K18-(MIN(K18,Parâmetros!$B$8)*Parâmetros!$B$7)-(IF(Parâmetros!$B$15=1,0,Parâmetros!$B$14)*Parâmetros!$B$10))&lt;=Parâmetros!$B$27,MAX(0,K18-(MIN(K18,Parâmetros!$B$8)*Parâmetros!$B$7)-(IF(Parâmetros!$B$15=1,0,Parâmetros!$B$14)*Parâmetros!$B$10))*0.15-Parâmetros!$B$30,IF(MAX(0,K18-(MIN(K18,Parâmetros!$B$8)*Parâmetros!$B$7)-(IF(Parâmetros!$B$15=1,0,Parâmetros!$B$14)*Parâmetros!$B$10))&lt;=Parâmetros!$B$28,MAX(0,K18-(MIN(K18,Parâmetros!$B$8)*Parâmetros!$B$7)-(IF(Parâmetros!$B$15=1,0,Parâmetros!$B$14)*Parâmetros!$B$10))*0.225-Parâmetros!$B$31,MAX(0,K18-(MIN(K18,Parâmetros!$B$8)*Parâmetros!$B$7)-(IF(Parâmetros!$B$15=1,0,Parâmetros!$B$14)*Parâmetros!$B$10))*0.275-Parâmetros!$B$32)))))-IF(K18&lt;=Parâmetros!$B$34,Parâmetros!$B$35-Parâmetros!$B$36*K18,0)))</f>
        <v/>
      </c>
      <c r="Q18" s="18">
        <f>MAX(0,B18-N18-K18)</f>
        <v/>
      </c>
      <c r="R18" s="13">
        <f>B18-N18-O18-P18</f>
        <v/>
      </c>
      <c r="S18" s="23">
        <f>Parâmetros!$B$21</f>
        <v/>
      </c>
      <c r="T18" s="20">
        <f>IF(SUM(B7:B18)=0,0,SUM(S7:S18)/SUM(B7:B18))</f>
        <v/>
      </c>
      <c r="U18" s="21">
        <f>IF(T18&gt;=Parâmetros!$B$6,"III","V")</f>
        <v/>
      </c>
      <c r="V18" s="18">
        <f>IF(U18="III",B18*Parâmetros!$B$4,B18*Parâmetros!$B$5)</f>
        <v/>
      </c>
      <c r="W18" s="18">
        <f>MIN(S18,Parâmetros!$B$8)*Parâmetros!$B$7</f>
        <v/>
      </c>
      <c r="X18" s="18">
        <f>IF(S18&lt;=Parâmetros!$B$33,0,MAX(0,(IF(MAX(0,S18-(MIN(S18,Parâmetros!$B$8)*Parâmetros!$B$7)-(IF(Parâmetros!$B$15=1,0,Parâmetros!$B$14)*Parâmetros!$B$10))&lt;=Parâmetros!$B$25,0,IF(MAX(0,S18-(MIN(S18,Parâmetros!$B$8)*Parâmetros!$B$7)-(IF(Parâmetros!$B$15=1,0,Parâmetros!$B$14)*Parâmetros!$B$10))&lt;=Parâmetros!$B$26,MAX(0,S18-(MIN(S18,Parâmetros!$B$8)*Parâmetros!$B$7)-(IF(Parâmetros!$B$15=1,0,Parâmetros!$B$14)*Parâmetros!$B$10))*0.075-Parâmetros!$B$29,IF(MAX(0,S18-(MIN(S18,Parâmetros!$B$8)*Parâmetros!$B$7)-(IF(Parâmetros!$B$15=1,0,Parâmetros!$B$14)*Parâmetros!$B$10))&lt;=Parâmetros!$B$27,MAX(0,S18-(MIN(S18,Parâmetros!$B$8)*Parâmetros!$B$7)-(IF(Parâmetros!$B$15=1,0,Parâmetros!$B$14)*Parâmetros!$B$10))*0.15-Parâmetros!$B$30,IF(MAX(0,S18-(MIN(S18,Parâmetros!$B$8)*Parâmetros!$B$7)-(IF(Parâmetros!$B$15=1,0,Parâmetros!$B$14)*Parâmetros!$B$10))&lt;=Parâmetros!$B$28,MAX(0,S18-(MIN(S18,Parâmetros!$B$8)*Parâmetros!$B$7)-(IF(Parâmetros!$B$15=1,0,Parâmetros!$B$14)*Parâmetros!$B$10))*0.225-Parâmetros!$B$31,MAX(0,S18-(MIN(S18,Parâmetros!$B$8)*Parâmetros!$B$7)-(IF(Parâmetros!$B$15=1,0,Parâmetros!$B$14)*Parâmetros!$B$10))*0.275-Parâmetros!$B$32)))))-IF(S18&lt;=Parâmetros!$B$34,Parâmetros!$B$35-Parâmetros!$B$36*S18,0)))</f>
        <v/>
      </c>
      <c r="Y18" s="18">
        <f>MAX(0,B18-V18-S18)</f>
        <v/>
      </c>
      <c r="Z18" s="13">
        <f>B18-V18-W18-X18</f>
        <v/>
      </c>
    </row>
    <row r="19">
      <c r="A19" s="35" t="n">
        <v>46082</v>
      </c>
      <c r="B19" s="18">
        <f>Notas!G20</f>
        <v/>
      </c>
      <c r="C19" s="19">
        <f>Parâmetros!$B$19</f>
        <v/>
      </c>
      <c r="D19" s="20">
        <f>IF(SUM(B8:B19)=0,0,SUM(C8:C19)/SUM(B8:B19))</f>
        <v/>
      </c>
      <c r="E19" s="21">
        <f>IF(D19&gt;=Parâmetros!$B$6,"III","V")</f>
        <v/>
      </c>
      <c r="F19" s="18">
        <f>IF(E19="III",B19*Parâmetros!$B$4,B19*Parâmetros!$B$5)</f>
        <v/>
      </c>
      <c r="G19" s="18">
        <f>MIN(C19,Parâmetros!$B$8)*Parâmetros!$B$7</f>
        <v/>
      </c>
      <c r="H19" s="18">
        <f>IF(C19&lt;=Parâmetros!$B$33,0,MAX(0,(IF(MAX(0,C19-(MIN(C19,Parâmetros!$B$8)*Parâmetros!$B$7)-(IF(Parâmetros!$B$15=1,0,Parâmetros!$B$14)*Parâmetros!$B$10))&lt;=Parâmetros!$B$25,0,IF(MAX(0,C19-(MIN(C19,Parâmetros!$B$8)*Parâmetros!$B$7)-(IF(Parâmetros!$B$15=1,0,Parâmetros!$B$14)*Parâmetros!$B$10))&lt;=Parâmetros!$B$26,MAX(0,C19-(MIN(C19,Parâmetros!$B$8)*Parâmetros!$B$7)-(IF(Parâmetros!$B$15=1,0,Parâmetros!$B$14)*Parâmetros!$B$10))*0.075-Parâmetros!$B$29,IF(MAX(0,C19-(MIN(C19,Parâmetros!$B$8)*Parâmetros!$B$7)-(IF(Parâmetros!$B$15=1,0,Parâmetros!$B$14)*Parâmetros!$B$10))&lt;=Parâmetros!$B$27,MAX(0,C19-(MIN(C19,Parâmetros!$B$8)*Parâmetros!$B$7)-(IF(Parâmetros!$B$15=1,0,Parâmetros!$B$14)*Parâmetros!$B$10))*0.15-Parâmetros!$B$30,IF(MAX(0,C19-(MIN(C19,Parâmetros!$B$8)*Parâmetros!$B$7)-(IF(Parâmetros!$B$15=1,0,Parâmetros!$B$14)*Parâmetros!$B$10))&lt;=Parâmetros!$B$28,MAX(0,C19-(MIN(C19,Parâmetros!$B$8)*Parâmetros!$B$7)-(IF(Parâmetros!$B$15=1,0,Parâmetros!$B$14)*Parâmetros!$B$10))*0.225-Parâmetros!$B$31,MAX(0,C19-(MIN(C19,Parâmetros!$B$8)*Parâmetros!$B$7)-(IF(Parâmetros!$B$15=1,0,Parâmetros!$B$14)*Parâmetros!$B$10))*0.275-Parâmetros!$B$32)))))-IF(C19&lt;=Parâmetros!$B$34,Parâmetros!$B$35-Parâmetros!$B$36*C19,0)))</f>
        <v/>
      </c>
      <c r="I19" s="18">
        <f>MAX(0,B19-F19-C19)</f>
        <v/>
      </c>
      <c r="J19" s="13">
        <f>B19-F19-G19-H19</f>
        <v/>
      </c>
      <c r="K19" s="22">
        <f>IF(A19&lt;Parâmetros!$B$23,Parâmetros!$B$19,MAX(Parâmetros!$B$22,Parâmetros!$B$6*SUM(B8:B19)-SUM(K8:K18)))</f>
        <v/>
      </c>
      <c r="L19" s="20">
        <f>IF(SUM(B8:B19)=0,0,SUM(K8:K19)/SUM(B8:B19))</f>
        <v/>
      </c>
      <c r="M19" s="21">
        <f>IF(L19&gt;=Parâmetros!$B$6,"III","V")</f>
        <v/>
      </c>
      <c r="N19" s="18">
        <f>IF(M19="III",B19*Parâmetros!$B$4,B19*Parâmetros!$B$5)</f>
        <v/>
      </c>
      <c r="O19" s="18">
        <f>MIN(K19,Parâmetros!$B$8)*Parâmetros!$B$7</f>
        <v/>
      </c>
      <c r="P19" s="18">
        <f>IF(K19&lt;=Parâmetros!$B$33,0,MAX(0,(IF(MAX(0,K19-(MIN(K19,Parâmetros!$B$8)*Parâmetros!$B$7)-(IF(Parâmetros!$B$15=1,0,Parâmetros!$B$14)*Parâmetros!$B$10))&lt;=Parâmetros!$B$25,0,IF(MAX(0,K19-(MIN(K19,Parâmetros!$B$8)*Parâmetros!$B$7)-(IF(Parâmetros!$B$15=1,0,Parâmetros!$B$14)*Parâmetros!$B$10))&lt;=Parâmetros!$B$26,MAX(0,K19-(MIN(K19,Parâmetros!$B$8)*Parâmetros!$B$7)-(IF(Parâmetros!$B$15=1,0,Parâmetros!$B$14)*Parâmetros!$B$10))*0.075-Parâmetros!$B$29,IF(MAX(0,K19-(MIN(K19,Parâmetros!$B$8)*Parâmetros!$B$7)-(IF(Parâmetros!$B$15=1,0,Parâmetros!$B$14)*Parâmetros!$B$10))&lt;=Parâmetros!$B$27,MAX(0,K19-(MIN(K19,Parâmetros!$B$8)*Parâmetros!$B$7)-(IF(Parâmetros!$B$15=1,0,Parâmetros!$B$14)*Parâmetros!$B$10))*0.15-Parâmetros!$B$30,IF(MAX(0,K19-(MIN(K19,Parâmetros!$B$8)*Parâmetros!$B$7)-(IF(Parâmetros!$B$15=1,0,Parâmetros!$B$14)*Parâmetros!$B$10))&lt;=Parâmetros!$B$28,MAX(0,K19-(MIN(K19,Parâmetros!$B$8)*Parâmetros!$B$7)-(IF(Parâmetros!$B$15=1,0,Parâmetros!$B$14)*Parâmetros!$B$10))*0.225-Parâmetros!$B$31,MAX(0,K19-(MIN(K19,Parâmetros!$B$8)*Parâmetros!$B$7)-(IF(Parâmetros!$B$15=1,0,Parâmetros!$B$14)*Parâmetros!$B$10))*0.275-Parâmetros!$B$32)))))-IF(K19&lt;=Parâmetros!$B$34,Parâmetros!$B$35-Parâmetros!$B$36*K19,0)))</f>
        <v/>
      </c>
      <c r="Q19" s="18">
        <f>MAX(0,B19-N19-K19)</f>
        <v/>
      </c>
      <c r="R19" s="13">
        <f>B19-N19-O19-P19</f>
        <v/>
      </c>
      <c r="S19" s="23">
        <f>Parâmetros!$B$21</f>
        <v/>
      </c>
      <c r="T19" s="20">
        <f>IF(SUM(B8:B19)=0,0,SUM(S8:S19)/SUM(B8:B19))</f>
        <v/>
      </c>
      <c r="U19" s="21">
        <f>IF(T19&gt;=Parâmetros!$B$6,"III","V")</f>
        <v/>
      </c>
      <c r="V19" s="18">
        <f>IF(U19="III",B19*Parâmetros!$B$4,B19*Parâmetros!$B$5)</f>
        <v/>
      </c>
      <c r="W19" s="18">
        <f>MIN(S19,Parâmetros!$B$8)*Parâmetros!$B$7</f>
        <v/>
      </c>
      <c r="X19" s="18">
        <f>IF(S19&lt;=Parâmetros!$B$33,0,MAX(0,(IF(MAX(0,S19-(MIN(S19,Parâmetros!$B$8)*Parâmetros!$B$7)-(IF(Parâmetros!$B$15=1,0,Parâmetros!$B$14)*Parâmetros!$B$10))&lt;=Parâmetros!$B$25,0,IF(MAX(0,S19-(MIN(S19,Parâmetros!$B$8)*Parâmetros!$B$7)-(IF(Parâmetros!$B$15=1,0,Parâmetros!$B$14)*Parâmetros!$B$10))&lt;=Parâmetros!$B$26,MAX(0,S19-(MIN(S19,Parâmetros!$B$8)*Parâmetros!$B$7)-(IF(Parâmetros!$B$15=1,0,Parâmetros!$B$14)*Parâmetros!$B$10))*0.075-Parâmetros!$B$29,IF(MAX(0,S19-(MIN(S19,Parâmetros!$B$8)*Parâmetros!$B$7)-(IF(Parâmetros!$B$15=1,0,Parâmetros!$B$14)*Parâmetros!$B$10))&lt;=Parâmetros!$B$27,MAX(0,S19-(MIN(S19,Parâmetros!$B$8)*Parâmetros!$B$7)-(IF(Parâmetros!$B$15=1,0,Parâmetros!$B$14)*Parâmetros!$B$10))*0.15-Parâmetros!$B$30,IF(MAX(0,S19-(MIN(S19,Parâmetros!$B$8)*Parâmetros!$B$7)-(IF(Parâmetros!$B$15=1,0,Parâmetros!$B$14)*Parâmetros!$B$10))&lt;=Parâmetros!$B$28,MAX(0,S19-(MIN(S19,Parâmetros!$B$8)*Parâmetros!$B$7)-(IF(Parâmetros!$B$15=1,0,Parâmetros!$B$14)*Parâmetros!$B$10))*0.225-Parâmetros!$B$31,MAX(0,S19-(MIN(S19,Parâmetros!$B$8)*Parâmetros!$B$7)-(IF(Parâmetros!$B$15=1,0,Parâmetros!$B$14)*Parâmetros!$B$10))*0.275-Parâmetros!$B$32)))))-IF(S19&lt;=Parâmetros!$B$34,Parâmetros!$B$35-Parâmetros!$B$36*S19,0)))</f>
        <v/>
      </c>
      <c r="Y19" s="18">
        <f>MAX(0,B19-V19-S19)</f>
        <v/>
      </c>
      <c r="Z19" s="13">
        <f>B19-V19-W19-X19</f>
        <v/>
      </c>
    </row>
    <row r="20">
      <c r="A20" s="35" t="n">
        <v>46113</v>
      </c>
      <c r="B20" s="18">
        <f>Notas!G21</f>
        <v/>
      </c>
      <c r="C20" s="19">
        <f>Parâmetros!$B$19</f>
        <v/>
      </c>
      <c r="D20" s="20">
        <f>IF(SUM(B9:B20)=0,0,SUM(C9:C20)/SUM(B9:B20))</f>
        <v/>
      </c>
      <c r="E20" s="21">
        <f>IF(D20&gt;=Parâmetros!$B$6,"III","V")</f>
        <v/>
      </c>
      <c r="F20" s="18">
        <f>IF(E20="III",B20*Parâmetros!$B$4,B20*Parâmetros!$B$5)</f>
        <v/>
      </c>
      <c r="G20" s="18">
        <f>MIN(C20,Parâmetros!$B$8)*Parâmetros!$B$7</f>
        <v/>
      </c>
      <c r="H20" s="18">
        <f>IF(C20&lt;=Parâmetros!$B$33,0,MAX(0,(IF(MAX(0,C20-(MIN(C20,Parâmetros!$B$8)*Parâmetros!$B$7)-(IF(Parâmetros!$B$15=1,0,Parâmetros!$B$14)*Parâmetros!$B$10))&lt;=Parâmetros!$B$25,0,IF(MAX(0,C20-(MIN(C20,Parâmetros!$B$8)*Parâmetros!$B$7)-(IF(Parâmetros!$B$15=1,0,Parâmetros!$B$14)*Parâmetros!$B$10))&lt;=Parâmetros!$B$26,MAX(0,C20-(MIN(C20,Parâmetros!$B$8)*Parâmetros!$B$7)-(IF(Parâmetros!$B$15=1,0,Parâmetros!$B$14)*Parâmetros!$B$10))*0.075-Parâmetros!$B$29,IF(MAX(0,C20-(MIN(C20,Parâmetros!$B$8)*Parâmetros!$B$7)-(IF(Parâmetros!$B$15=1,0,Parâmetros!$B$14)*Parâmetros!$B$10))&lt;=Parâmetros!$B$27,MAX(0,C20-(MIN(C20,Parâmetros!$B$8)*Parâmetros!$B$7)-(IF(Parâmetros!$B$15=1,0,Parâmetros!$B$14)*Parâmetros!$B$10))*0.15-Parâmetros!$B$30,IF(MAX(0,C20-(MIN(C20,Parâmetros!$B$8)*Parâmetros!$B$7)-(IF(Parâmetros!$B$15=1,0,Parâmetros!$B$14)*Parâmetros!$B$10))&lt;=Parâmetros!$B$28,MAX(0,C20-(MIN(C20,Parâmetros!$B$8)*Parâmetros!$B$7)-(IF(Parâmetros!$B$15=1,0,Parâmetros!$B$14)*Parâmetros!$B$10))*0.225-Parâmetros!$B$31,MAX(0,C20-(MIN(C20,Parâmetros!$B$8)*Parâmetros!$B$7)-(IF(Parâmetros!$B$15=1,0,Parâmetros!$B$14)*Parâmetros!$B$10))*0.275-Parâmetros!$B$32)))))-IF(C20&lt;=Parâmetros!$B$34,Parâmetros!$B$35-Parâmetros!$B$36*C20,0)))</f>
        <v/>
      </c>
      <c r="I20" s="18">
        <f>MAX(0,B20-F20-C20)</f>
        <v/>
      </c>
      <c r="J20" s="13">
        <f>B20-F20-G20-H20</f>
        <v/>
      </c>
      <c r="K20" s="22">
        <f>IF(A20&lt;Parâmetros!$B$23,Parâmetros!$B$19,MAX(Parâmetros!$B$22,Parâmetros!$B$6*SUM(B9:B20)-SUM(K9:K19)))</f>
        <v/>
      </c>
      <c r="L20" s="20">
        <f>IF(SUM(B9:B20)=0,0,SUM(K9:K20)/SUM(B9:B20))</f>
        <v/>
      </c>
      <c r="M20" s="21">
        <f>IF(L20&gt;=Parâmetros!$B$6,"III","V")</f>
        <v/>
      </c>
      <c r="N20" s="18">
        <f>IF(M20="III",B20*Parâmetros!$B$4,B20*Parâmetros!$B$5)</f>
        <v/>
      </c>
      <c r="O20" s="18">
        <f>MIN(K20,Parâmetros!$B$8)*Parâmetros!$B$7</f>
        <v/>
      </c>
      <c r="P20" s="18">
        <f>IF(K20&lt;=Parâmetros!$B$33,0,MAX(0,(IF(MAX(0,K20-(MIN(K20,Parâmetros!$B$8)*Parâmetros!$B$7)-(IF(Parâmetros!$B$15=1,0,Parâmetros!$B$14)*Parâmetros!$B$10))&lt;=Parâmetros!$B$25,0,IF(MAX(0,K20-(MIN(K20,Parâmetros!$B$8)*Parâmetros!$B$7)-(IF(Parâmetros!$B$15=1,0,Parâmetros!$B$14)*Parâmetros!$B$10))&lt;=Parâmetros!$B$26,MAX(0,K20-(MIN(K20,Parâmetros!$B$8)*Parâmetros!$B$7)-(IF(Parâmetros!$B$15=1,0,Parâmetros!$B$14)*Parâmetros!$B$10))*0.075-Parâmetros!$B$29,IF(MAX(0,K20-(MIN(K20,Parâmetros!$B$8)*Parâmetros!$B$7)-(IF(Parâmetros!$B$15=1,0,Parâmetros!$B$14)*Parâmetros!$B$10))&lt;=Parâmetros!$B$27,MAX(0,K20-(MIN(K20,Parâmetros!$B$8)*Parâmetros!$B$7)-(IF(Parâmetros!$B$15=1,0,Parâmetros!$B$14)*Parâmetros!$B$10))*0.15-Parâmetros!$B$30,IF(MAX(0,K20-(MIN(K20,Parâmetros!$B$8)*Parâmetros!$B$7)-(IF(Parâmetros!$B$15=1,0,Parâmetros!$B$14)*Parâmetros!$B$10))&lt;=Parâmetros!$B$28,MAX(0,K20-(MIN(K20,Parâmetros!$B$8)*Parâmetros!$B$7)-(IF(Parâmetros!$B$15=1,0,Parâmetros!$B$14)*Parâmetros!$B$10))*0.225-Parâmetros!$B$31,MAX(0,K20-(MIN(K20,Parâmetros!$B$8)*Parâmetros!$B$7)-(IF(Parâmetros!$B$15=1,0,Parâmetros!$B$14)*Parâmetros!$B$10))*0.275-Parâmetros!$B$32)))))-IF(K20&lt;=Parâmetros!$B$34,Parâmetros!$B$35-Parâmetros!$B$36*K20,0)))</f>
        <v/>
      </c>
      <c r="Q20" s="18">
        <f>MAX(0,B20-N20-K20)</f>
        <v/>
      </c>
      <c r="R20" s="13">
        <f>B20-N20-O20-P20</f>
        <v/>
      </c>
      <c r="S20" s="23">
        <f>Parâmetros!$B$21</f>
        <v/>
      </c>
      <c r="T20" s="20">
        <f>IF(SUM(B9:B20)=0,0,SUM(S9:S20)/SUM(B9:B20))</f>
        <v/>
      </c>
      <c r="U20" s="21">
        <f>IF(T20&gt;=Parâmetros!$B$6,"III","V")</f>
        <v/>
      </c>
      <c r="V20" s="18">
        <f>IF(U20="III",B20*Parâmetros!$B$4,B20*Parâmetros!$B$5)</f>
        <v/>
      </c>
      <c r="W20" s="18">
        <f>MIN(S20,Parâmetros!$B$8)*Parâmetros!$B$7</f>
        <v/>
      </c>
      <c r="X20" s="18">
        <f>IF(S20&lt;=Parâmetros!$B$33,0,MAX(0,(IF(MAX(0,S20-(MIN(S20,Parâmetros!$B$8)*Parâmetros!$B$7)-(IF(Parâmetros!$B$15=1,0,Parâmetros!$B$14)*Parâmetros!$B$10))&lt;=Parâmetros!$B$25,0,IF(MAX(0,S20-(MIN(S20,Parâmetros!$B$8)*Parâmetros!$B$7)-(IF(Parâmetros!$B$15=1,0,Parâmetros!$B$14)*Parâmetros!$B$10))&lt;=Parâmetros!$B$26,MAX(0,S20-(MIN(S20,Parâmetros!$B$8)*Parâmetros!$B$7)-(IF(Parâmetros!$B$15=1,0,Parâmetros!$B$14)*Parâmetros!$B$10))*0.075-Parâmetros!$B$29,IF(MAX(0,S20-(MIN(S20,Parâmetros!$B$8)*Parâmetros!$B$7)-(IF(Parâmetros!$B$15=1,0,Parâmetros!$B$14)*Parâmetros!$B$10))&lt;=Parâmetros!$B$27,MAX(0,S20-(MIN(S20,Parâmetros!$B$8)*Parâmetros!$B$7)-(IF(Parâmetros!$B$15=1,0,Parâmetros!$B$14)*Parâmetros!$B$10))*0.15-Parâmetros!$B$30,IF(MAX(0,S20-(MIN(S20,Parâmetros!$B$8)*Parâmetros!$B$7)-(IF(Parâmetros!$B$15=1,0,Parâmetros!$B$14)*Parâmetros!$B$10))&lt;=Parâmetros!$B$28,MAX(0,S20-(MIN(S20,Parâmetros!$B$8)*Parâmetros!$B$7)-(IF(Parâmetros!$B$15=1,0,Parâmetros!$B$14)*Parâmetros!$B$10))*0.225-Parâmetros!$B$31,MAX(0,S20-(MIN(S20,Parâmetros!$B$8)*Parâmetros!$B$7)-(IF(Parâmetros!$B$15=1,0,Parâmetros!$B$14)*Parâmetros!$B$10))*0.275-Parâmetros!$B$32)))))-IF(S20&lt;=Parâmetros!$B$34,Parâmetros!$B$35-Parâmetros!$B$36*S20,0)))</f>
        <v/>
      </c>
      <c r="Y20" s="18">
        <f>MAX(0,B20-V20-S20)</f>
        <v/>
      </c>
      <c r="Z20" s="13">
        <f>B20-V20-W20-X20</f>
        <v/>
      </c>
    </row>
    <row r="21">
      <c r="A21" s="35" t="n">
        <v>46143</v>
      </c>
      <c r="B21" s="18">
        <f>Notas!G22</f>
        <v/>
      </c>
      <c r="C21" s="19">
        <f>Parâmetros!$B$19</f>
        <v/>
      </c>
      <c r="D21" s="20">
        <f>IF(SUM(B10:B21)=0,0,SUM(C10:C21)/SUM(B10:B21))</f>
        <v/>
      </c>
      <c r="E21" s="21">
        <f>IF(D21&gt;=Parâmetros!$B$6,"III","V")</f>
        <v/>
      </c>
      <c r="F21" s="18">
        <f>IF(E21="III",B21*Parâmetros!$B$4,B21*Parâmetros!$B$5)</f>
        <v/>
      </c>
      <c r="G21" s="18">
        <f>MIN(C21,Parâmetros!$B$8)*Parâmetros!$B$7</f>
        <v/>
      </c>
      <c r="H21" s="18">
        <f>IF(C21&lt;=Parâmetros!$B$33,0,MAX(0,(IF(MAX(0,C21-(MIN(C21,Parâmetros!$B$8)*Parâmetros!$B$7)-(IF(Parâmetros!$B$15=1,0,Parâmetros!$B$14)*Parâmetros!$B$10))&lt;=Parâmetros!$B$25,0,IF(MAX(0,C21-(MIN(C21,Parâmetros!$B$8)*Parâmetros!$B$7)-(IF(Parâmetros!$B$15=1,0,Parâmetros!$B$14)*Parâmetros!$B$10))&lt;=Parâmetros!$B$26,MAX(0,C21-(MIN(C21,Parâmetros!$B$8)*Parâmetros!$B$7)-(IF(Parâmetros!$B$15=1,0,Parâmetros!$B$14)*Parâmetros!$B$10))*0.075-Parâmetros!$B$29,IF(MAX(0,C21-(MIN(C21,Parâmetros!$B$8)*Parâmetros!$B$7)-(IF(Parâmetros!$B$15=1,0,Parâmetros!$B$14)*Parâmetros!$B$10))&lt;=Parâmetros!$B$27,MAX(0,C21-(MIN(C21,Parâmetros!$B$8)*Parâmetros!$B$7)-(IF(Parâmetros!$B$15=1,0,Parâmetros!$B$14)*Parâmetros!$B$10))*0.15-Parâmetros!$B$30,IF(MAX(0,C21-(MIN(C21,Parâmetros!$B$8)*Parâmetros!$B$7)-(IF(Parâmetros!$B$15=1,0,Parâmetros!$B$14)*Parâmetros!$B$10))&lt;=Parâmetros!$B$28,MAX(0,C21-(MIN(C21,Parâmetros!$B$8)*Parâmetros!$B$7)-(IF(Parâmetros!$B$15=1,0,Parâmetros!$B$14)*Parâmetros!$B$10))*0.225-Parâmetros!$B$31,MAX(0,C21-(MIN(C21,Parâmetros!$B$8)*Parâmetros!$B$7)-(IF(Parâmetros!$B$15=1,0,Parâmetros!$B$14)*Parâmetros!$B$10))*0.275-Parâmetros!$B$32)))))-IF(C21&lt;=Parâmetros!$B$34,Parâmetros!$B$35-Parâmetros!$B$36*C21,0)))</f>
        <v/>
      </c>
      <c r="I21" s="18">
        <f>MAX(0,B21-F21-C21)</f>
        <v/>
      </c>
      <c r="J21" s="13">
        <f>B21-F21-G21-H21</f>
        <v/>
      </c>
      <c r="K21" s="22">
        <f>IF(A21&lt;Parâmetros!$B$23,Parâmetros!$B$19,MAX(Parâmetros!$B$22,Parâmetros!$B$6*SUM(B10:B21)-SUM(K10:K20)))</f>
        <v/>
      </c>
      <c r="L21" s="20">
        <f>IF(SUM(B10:B21)=0,0,SUM(K10:K21)/SUM(B10:B21))</f>
        <v/>
      </c>
      <c r="M21" s="21">
        <f>IF(L21&gt;=Parâmetros!$B$6,"III","V")</f>
        <v/>
      </c>
      <c r="N21" s="18">
        <f>IF(M21="III",B21*Parâmetros!$B$4,B21*Parâmetros!$B$5)</f>
        <v/>
      </c>
      <c r="O21" s="18">
        <f>MIN(K21,Parâmetros!$B$8)*Parâmetros!$B$7</f>
        <v/>
      </c>
      <c r="P21" s="18">
        <f>IF(K21&lt;=Parâmetros!$B$33,0,MAX(0,(IF(MAX(0,K21-(MIN(K21,Parâmetros!$B$8)*Parâmetros!$B$7)-(IF(Parâmetros!$B$15=1,0,Parâmetros!$B$14)*Parâmetros!$B$10))&lt;=Parâmetros!$B$25,0,IF(MAX(0,K21-(MIN(K21,Parâmetros!$B$8)*Parâmetros!$B$7)-(IF(Parâmetros!$B$15=1,0,Parâmetros!$B$14)*Parâmetros!$B$10))&lt;=Parâmetros!$B$26,MAX(0,K21-(MIN(K21,Parâmetros!$B$8)*Parâmetros!$B$7)-(IF(Parâmetros!$B$15=1,0,Parâmetros!$B$14)*Parâmetros!$B$10))*0.075-Parâmetros!$B$29,IF(MAX(0,K21-(MIN(K21,Parâmetros!$B$8)*Parâmetros!$B$7)-(IF(Parâmetros!$B$15=1,0,Parâmetros!$B$14)*Parâmetros!$B$10))&lt;=Parâmetros!$B$27,MAX(0,K21-(MIN(K21,Parâmetros!$B$8)*Parâmetros!$B$7)-(IF(Parâmetros!$B$15=1,0,Parâmetros!$B$14)*Parâmetros!$B$10))*0.15-Parâmetros!$B$30,IF(MAX(0,K21-(MIN(K21,Parâmetros!$B$8)*Parâmetros!$B$7)-(IF(Parâmetros!$B$15=1,0,Parâmetros!$B$14)*Parâmetros!$B$10))&lt;=Parâmetros!$B$28,MAX(0,K21-(MIN(K21,Parâmetros!$B$8)*Parâmetros!$B$7)-(IF(Parâmetros!$B$15=1,0,Parâmetros!$B$14)*Parâmetros!$B$10))*0.225-Parâmetros!$B$31,MAX(0,K21-(MIN(K21,Parâmetros!$B$8)*Parâmetros!$B$7)-(IF(Parâmetros!$B$15=1,0,Parâmetros!$B$14)*Parâmetros!$B$10))*0.275-Parâmetros!$B$32)))))-IF(K21&lt;=Parâmetros!$B$34,Parâmetros!$B$35-Parâmetros!$B$36*K21,0)))</f>
        <v/>
      </c>
      <c r="Q21" s="18">
        <f>MAX(0,B21-N21-K21)</f>
        <v/>
      </c>
      <c r="R21" s="13">
        <f>B21-N21-O21-P21</f>
        <v/>
      </c>
      <c r="S21" s="23">
        <f>Parâmetros!$B$21</f>
        <v/>
      </c>
      <c r="T21" s="20">
        <f>IF(SUM(B10:B21)=0,0,SUM(S10:S21)/SUM(B10:B21))</f>
        <v/>
      </c>
      <c r="U21" s="21">
        <f>IF(T21&gt;=Parâmetros!$B$6,"III","V")</f>
        <v/>
      </c>
      <c r="V21" s="18">
        <f>IF(U21="III",B21*Parâmetros!$B$4,B21*Parâmetros!$B$5)</f>
        <v/>
      </c>
      <c r="W21" s="18">
        <f>MIN(S21,Parâmetros!$B$8)*Parâmetros!$B$7</f>
        <v/>
      </c>
      <c r="X21" s="18">
        <f>IF(S21&lt;=Parâmetros!$B$33,0,MAX(0,(IF(MAX(0,S21-(MIN(S21,Parâmetros!$B$8)*Parâmetros!$B$7)-(IF(Parâmetros!$B$15=1,0,Parâmetros!$B$14)*Parâmetros!$B$10))&lt;=Parâmetros!$B$25,0,IF(MAX(0,S21-(MIN(S21,Parâmetros!$B$8)*Parâmetros!$B$7)-(IF(Parâmetros!$B$15=1,0,Parâmetros!$B$14)*Parâmetros!$B$10))&lt;=Parâmetros!$B$26,MAX(0,S21-(MIN(S21,Parâmetros!$B$8)*Parâmetros!$B$7)-(IF(Parâmetros!$B$15=1,0,Parâmetros!$B$14)*Parâmetros!$B$10))*0.075-Parâmetros!$B$29,IF(MAX(0,S21-(MIN(S21,Parâmetros!$B$8)*Parâmetros!$B$7)-(IF(Parâmetros!$B$15=1,0,Parâmetros!$B$14)*Parâmetros!$B$10))&lt;=Parâmetros!$B$27,MAX(0,S21-(MIN(S21,Parâmetros!$B$8)*Parâmetros!$B$7)-(IF(Parâmetros!$B$15=1,0,Parâmetros!$B$14)*Parâmetros!$B$10))*0.15-Parâmetros!$B$30,IF(MAX(0,S21-(MIN(S21,Parâmetros!$B$8)*Parâmetros!$B$7)-(IF(Parâmetros!$B$15=1,0,Parâmetros!$B$14)*Parâmetros!$B$10))&lt;=Parâmetros!$B$28,MAX(0,S21-(MIN(S21,Parâmetros!$B$8)*Parâmetros!$B$7)-(IF(Parâmetros!$B$15=1,0,Parâmetros!$B$14)*Parâmetros!$B$10))*0.225-Parâmetros!$B$31,MAX(0,S21-(MIN(S21,Parâmetros!$B$8)*Parâmetros!$B$7)-(IF(Parâmetros!$B$15=1,0,Parâmetros!$B$14)*Parâmetros!$B$10))*0.275-Parâmetros!$B$32)))))-IF(S21&lt;=Parâmetros!$B$34,Parâmetros!$B$35-Parâmetros!$B$36*S21,0)))</f>
        <v/>
      </c>
      <c r="Y21" s="18">
        <f>MAX(0,B21-V21-S21)</f>
        <v/>
      </c>
      <c r="Z21" s="13">
        <f>B21-V21-W21-X21</f>
        <v/>
      </c>
    </row>
    <row r="22">
      <c r="A22" s="35" t="n">
        <v>46174</v>
      </c>
      <c r="B22" s="18">
        <f>Notas!G23</f>
        <v/>
      </c>
      <c r="C22" s="19">
        <f>Parâmetros!$B$19</f>
        <v/>
      </c>
      <c r="D22" s="20">
        <f>IF(SUM(B11:B22)=0,0,SUM(C11:C22)/SUM(B11:B22))</f>
        <v/>
      </c>
      <c r="E22" s="21">
        <f>IF(D22&gt;=Parâmetros!$B$6,"III","V")</f>
        <v/>
      </c>
      <c r="F22" s="18">
        <f>IF(E22="III",B22*Parâmetros!$B$4,B22*Parâmetros!$B$5)</f>
        <v/>
      </c>
      <c r="G22" s="18">
        <f>MIN(C22,Parâmetros!$B$8)*Parâmetros!$B$7</f>
        <v/>
      </c>
      <c r="H22" s="18">
        <f>IF(C22&lt;=Parâmetros!$B$33,0,MAX(0,(IF(MAX(0,C22-(MIN(C22,Parâmetros!$B$8)*Parâmetros!$B$7)-(IF(Parâmetros!$B$15=1,0,Parâmetros!$B$14)*Parâmetros!$B$10))&lt;=Parâmetros!$B$25,0,IF(MAX(0,C22-(MIN(C22,Parâmetros!$B$8)*Parâmetros!$B$7)-(IF(Parâmetros!$B$15=1,0,Parâmetros!$B$14)*Parâmetros!$B$10))&lt;=Parâmetros!$B$26,MAX(0,C22-(MIN(C22,Parâmetros!$B$8)*Parâmetros!$B$7)-(IF(Parâmetros!$B$15=1,0,Parâmetros!$B$14)*Parâmetros!$B$10))*0.075-Parâmetros!$B$29,IF(MAX(0,C22-(MIN(C22,Parâmetros!$B$8)*Parâmetros!$B$7)-(IF(Parâmetros!$B$15=1,0,Parâmetros!$B$14)*Parâmetros!$B$10))&lt;=Parâmetros!$B$27,MAX(0,C22-(MIN(C22,Parâmetros!$B$8)*Parâmetros!$B$7)-(IF(Parâmetros!$B$15=1,0,Parâmetros!$B$14)*Parâmetros!$B$10))*0.15-Parâmetros!$B$30,IF(MAX(0,C22-(MIN(C22,Parâmetros!$B$8)*Parâmetros!$B$7)-(IF(Parâmetros!$B$15=1,0,Parâmetros!$B$14)*Parâmetros!$B$10))&lt;=Parâmetros!$B$28,MAX(0,C22-(MIN(C22,Parâmetros!$B$8)*Parâmetros!$B$7)-(IF(Parâmetros!$B$15=1,0,Parâmetros!$B$14)*Parâmetros!$B$10))*0.225-Parâmetros!$B$31,MAX(0,C22-(MIN(C22,Parâmetros!$B$8)*Parâmetros!$B$7)-(IF(Parâmetros!$B$15=1,0,Parâmetros!$B$14)*Parâmetros!$B$10))*0.275-Parâmetros!$B$32)))))-IF(C22&lt;=Parâmetros!$B$34,Parâmetros!$B$35-Parâmetros!$B$36*C22,0)))</f>
        <v/>
      </c>
      <c r="I22" s="18">
        <f>MAX(0,B22-F22-C22)</f>
        <v/>
      </c>
      <c r="J22" s="13">
        <f>B22-F22-G22-H22</f>
        <v/>
      </c>
      <c r="K22" s="22">
        <f>IF(A22&lt;Parâmetros!$B$23,Parâmetros!$B$19,MAX(Parâmetros!$B$22,Parâmetros!$B$6*SUM(B11:B22)-SUM(K11:K21)))</f>
        <v/>
      </c>
      <c r="L22" s="20">
        <f>IF(SUM(B11:B22)=0,0,SUM(K11:K22)/SUM(B11:B22))</f>
        <v/>
      </c>
      <c r="M22" s="21">
        <f>IF(L22&gt;=Parâmetros!$B$6,"III","V")</f>
        <v/>
      </c>
      <c r="N22" s="18">
        <f>IF(M22="III",B22*Parâmetros!$B$4,B22*Parâmetros!$B$5)</f>
        <v/>
      </c>
      <c r="O22" s="18">
        <f>MIN(K22,Parâmetros!$B$8)*Parâmetros!$B$7</f>
        <v/>
      </c>
      <c r="P22" s="18">
        <f>IF(K22&lt;=Parâmetros!$B$33,0,MAX(0,(IF(MAX(0,K22-(MIN(K22,Parâmetros!$B$8)*Parâmetros!$B$7)-(IF(Parâmetros!$B$15=1,0,Parâmetros!$B$14)*Parâmetros!$B$10))&lt;=Parâmetros!$B$25,0,IF(MAX(0,K22-(MIN(K22,Parâmetros!$B$8)*Parâmetros!$B$7)-(IF(Parâmetros!$B$15=1,0,Parâmetros!$B$14)*Parâmetros!$B$10))&lt;=Parâmetros!$B$26,MAX(0,K22-(MIN(K22,Parâmetros!$B$8)*Parâmetros!$B$7)-(IF(Parâmetros!$B$15=1,0,Parâmetros!$B$14)*Parâmetros!$B$10))*0.075-Parâmetros!$B$29,IF(MAX(0,K22-(MIN(K22,Parâmetros!$B$8)*Parâmetros!$B$7)-(IF(Parâmetros!$B$15=1,0,Parâmetros!$B$14)*Parâmetros!$B$10))&lt;=Parâmetros!$B$27,MAX(0,K22-(MIN(K22,Parâmetros!$B$8)*Parâmetros!$B$7)-(IF(Parâmetros!$B$15=1,0,Parâmetros!$B$14)*Parâmetros!$B$10))*0.15-Parâmetros!$B$30,IF(MAX(0,K22-(MIN(K22,Parâmetros!$B$8)*Parâmetros!$B$7)-(IF(Parâmetros!$B$15=1,0,Parâmetros!$B$14)*Parâmetros!$B$10))&lt;=Parâmetros!$B$28,MAX(0,K22-(MIN(K22,Parâmetros!$B$8)*Parâmetros!$B$7)-(IF(Parâmetros!$B$15=1,0,Parâmetros!$B$14)*Parâmetros!$B$10))*0.225-Parâmetros!$B$31,MAX(0,K22-(MIN(K22,Parâmetros!$B$8)*Parâmetros!$B$7)-(IF(Parâmetros!$B$15=1,0,Parâmetros!$B$14)*Parâmetros!$B$10))*0.275-Parâmetros!$B$32)))))-IF(K22&lt;=Parâmetros!$B$34,Parâmetros!$B$35-Parâmetros!$B$36*K22,0)))</f>
        <v/>
      </c>
      <c r="Q22" s="18">
        <f>MAX(0,B22-N22-K22)</f>
        <v/>
      </c>
      <c r="R22" s="13">
        <f>B22-N22-O22-P22</f>
        <v/>
      </c>
      <c r="S22" s="23">
        <f>Parâmetros!$B$21</f>
        <v/>
      </c>
      <c r="T22" s="20">
        <f>IF(SUM(B11:B22)=0,0,SUM(S11:S22)/SUM(B11:B22))</f>
        <v/>
      </c>
      <c r="U22" s="21">
        <f>IF(T22&gt;=Parâmetros!$B$6,"III","V")</f>
        <v/>
      </c>
      <c r="V22" s="18">
        <f>IF(U22="III",B22*Parâmetros!$B$4,B22*Parâmetros!$B$5)</f>
        <v/>
      </c>
      <c r="W22" s="18">
        <f>MIN(S22,Parâmetros!$B$8)*Parâmetros!$B$7</f>
        <v/>
      </c>
      <c r="X22" s="18">
        <f>IF(S22&lt;=Parâmetros!$B$33,0,MAX(0,(IF(MAX(0,S22-(MIN(S22,Parâmetros!$B$8)*Parâmetros!$B$7)-(IF(Parâmetros!$B$15=1,0,Parâmetros!$B$14)*Parâmetros!$B$10))&lt;=Parâmetros!$B$25,0,IF(MAX(0,S22-(MIN(S22,Parâmetros!$B$8)*Parâmetros!$B$7)-(IF(Parâmetros!$B$15=1,0,Parâmetros!$B$14)*Parâmetros!$B$10))&lt;=Parâmetros!$B$26,MAX(0,S22-(MIN(S22,Parâmetros!$B$8)*Parâmetros!$B$7)-(IF(Parâmetros!$B$15=1,0,Parâmetros!$B$14)*Parâmetros!$B$10))*0.075-Parâmetros!$B$29,IF(MAX(0,S22-(MIN(S22,Parâmetros!$B$8)*Parâmetros!$B$7)-(IF(Parâmetros!$B$15=1,0,Parâmetros!$B$14)*Parâmetros!$B$10))&lt;=Parâmetros!$B$27,MAX(0,S22-(MIN(S22,Parâmetros!$B$8)*Parâmetros!$B$7)-(IF(Parâmetros!$B$15=1,0,Parâmetros!$B$14)*Parâmetros!$B$10))*0.15-Parâmetros!$B$30,IF(MAX(0,S22-(MIN(S22,Parâmetros!$B$8)*Parâmetros!$B$7)-(IF(Parâmetros!$B$15=1,0,Parâmetros!$B$14)*Parâmetros!$B$10))&lt;=Parâmetros!$B$28,MAX(0,S22-(MIN(S22,Parâmetros!$B$8)*Parâmetros!$B$7)-(IF(Parâmetros!$B$15=1,0,Parâmetros!$B$14)*Parâmetros!$B$10))*0.225-Parâmetros!$B$31,MAX(0,S22-(MIN(S22,Parâmetros!$B$8)*Parâmetros!$B$7)-(IF(Parâmetros!$B$15=1,0,Parâmetros!$B$14)*Parâmetros!$B$10))*0.275-Parâmetros!$B$32)))))-IF(S22&lt;=Parâmetros!$B$34,Parâmetros!$B$35-Parâmetros!$B$36*S22,0)))</f>
        <v/>
      </c>
      <c r="Y22" s="18">
        <f>MAX(0,B22-V22-S22)</f>
        <v/>
      </c>
      <c r="Z22" s="13">
        <f>B22-V22-W22-X22</f>
        <v/>
      </c>
    </row>
    <row r="23">
      <c r="A23" s="35" t="n">
        <v>46204</v>
      </c>
      <c r="B23" s="18">
        <f>Notas!G24</f>
        <v/>
      </c>
      <c r="C23" s="19">
        <f>Parâmetros!$B$19</f>
        <v/>
      </c>
      <c r="D23" s="20">
        <f>IF(SUM(B12:B23)=0,0,SUM(C12:C23)/SUM(B12:B23))</f>
        <v/>
      </c>
      <c r="E23" s="21">
        <f>IF(D23&gt;=Parâmetros!$B$6,"III","V")</f>
        <v/>
      </c>
      <c r="F23" s="18">
        <f>IF(E23="III",B23*Parâmetros!$B$4,B23*Parâmetros!$B$5)</f>
        <v/>
      </c>
      <c r="G23" s="18">
        <f>MIN(C23,Parâmetros!$B$8)*Parâmetros!$B$7</f>
        <v/>
      </c>
      <c r="H23" s="18">
        <f>IF(C23&lt;=Parâmetros!$B$33,0,MAX(0,(IF(MAX(0,C23-(MIN(C23,Parâmetros!$B$8)*Parâmetros!$B$7)-(IF(Parâmetros!$B$15=1,0,Parâmetros!$B$14)*Parâmetros!$B$10))&lt;=Parâmetros!$B$25,0,IF(MAX(0,C23-(MIN(C23,Parâmetros!$B$8)*Parâmetros!$B$7)-(IF(Parâmetros!$B$15=1,0,Parâmetros!$B$14)*Parâmetros!$B$10))&lt;=Parâmetros!$B$26,MAX(0,C23-(MIN(C23,Parâmetros!$B$8)*Parâmetros!$B$7)-(IF(Parâmetros!$B$15=1,0,Parâmetros!$B$14)*Parâmetros!$B$10))*0.075-Parâmetros!$B$29,IF(MAX(0,C23-(MIN(C23,Parâmetros!$B$8)*Parâmetros!$B$7)-(IF(Parâmetros!$B$15=1,0,Parâmetros!$B$14)*Parâmetros!$B$10))&lt;=Parâmetros!$B$27,MAX(0,C23-(MIN(C23,Parâmetros!$B$8)*Parâmetros!$B$7)-(IF(Parâmetros!$B$15=1,0,Parâmetros!$B$14)*Parâmetros!$B$10))*0.15-Parâmetros!$B$30,IF(MAX(0,C23-(MIN(C23,Parâmetros!$B$8)*Parâmetros!$B$7)-(IF(Parâmetros!$B$15=1,0,Parâmetros!$B$14)*Parâmetros!$B$10))&lt;=Parâmetros!$B$28,MAX(0,C23-(MIN(C23,Parâmetros!$B$8)*Parâmetros!$B$7)-(IF(Parâmetros!$B$15=1,0,Parâmetros!$B$14)*Parâmetros!$B$10))*0.225-Parâmetros!$B$31,MAX(0,C23-(MIN(C23,Parâmetros!$B$8)*Parâmetros!$B$7)-(IF(Parâmetros!$B$15=1,0,Parâmetros!$B$14)*Parâmetros!$B$10))*0.275-Parâmetros!$B$32)))))-IF(C23&lt;=Parâmetros!$B$34,Parâmetros!$B$35-Parâmetros!$B$36*C23,0)))</f>
        <v/>
      </c>
      <c r="I23" s="18">
        <f>MAX(0,B23-F23-C23)</f>
        <v/>
      </c>
      <c r="J23" s="13">
        <f>B23-F23-G23-H23</f>
        <v/>
      </c>
      <c r="K23" s="22">
        <f>IF(A23&lt;Parâmetros!$B$23,Parâmetros!$B$19,MAX(Parâmetros!$B$22,Parâmetros!$B$6*SUM(B12:B23)-SUM(K12:K22)))</f>
        <v/>
      </c>
      <c r="L23" s="20">
        <f>IF(SUM(B12:B23)=0,0,SUM(K12:K23)/SUM(B12:B23))</f>
        <v/>
      </c>
      <c r="M23" s="21">
        <f>IF(L23&gt;=Parâmetros!$B$6,"III","V")</f>
        <v/>
      </c>
      <c r="N23" s="18">
        <f>IF(M23="III",B23*Parâmetros!$B$4,B23*Parâmetros!$B$5)</f>
        <v/>
      </c>
      <c r="O23" s="18">
        <f>MIN(K23,Parâmetros!$B$8)*Parâmetros!$B$7</f>
        <v/>
      </c>
      <c r="P23" s="18">
        <f>IF(K23&lt;=Parâmetros!$B$33,0,MAX(0,(IF(MAX(0,K23-(MIN(K23,Parâmetros!$B$8)*Parâmetros!$B$7)-(IF(Parâmetros!$B$15=1,0,Parâmetros!$B$14)*Parâmetros!$B$10))&lt;=Parâmetros!$B$25,0,IF(MAX(0,K23-(MIN(K23,Parâmetros!$B$8)*Parâmetros!$B$7)-(IF(Parâmetros!$B$15=1,0,Parâmetros!$B$14)*Parâmetros!$B$10))&lt;=Parâmetros!$B$26,MAX(0,K23-(MIN(K23,Parâmetros!$B$8)*Parâmetros!$B$7)-(IF(Parâmetros!$B$15=1,0,Parâmetros!$B$14)*Parâmetros!$B$10))*0.075-Parâmetros!$B$29,IF(MAX(0,K23-(MIN(K23,Parâmetros!$B$8)*Parâmetros!$B$7)-(IF(Parâmetros!$B$15=1,0,Parâmetros!$B$14)*Parâmetros!$B$10))&lt;=Parâmetros!$B$27,MAX(0,K23-(MIN(K23,Parâmetros!$B$8)*Parâmetros!$B$7)-(IF(Parâmetros!$B$15=1,0,Parâmetros!$B$14)*Parâmetros!$B$10))*0.15-Parâmetros!$B$30,IF(MAX(0,K23-(MIN(K23,Parâmetros!$B$8)*Parâmetros!$B$7)-(IF(Parâmetros!$B$15=1,0,Parâmetros!$B$14)*Parâmetros!$B$10))&lt;=Parâmetros!$B$28,MAX(0,K23-(MIN(K23,Parâmetros!$B$8)*Parâmetros!$B$7)-(IF(Parâmetros!$B$15=1,0,Parâmetros!$B$14)*Parâmetros!$B$10))*0.225-Parâmetros!$B$31,MAX(0,K23-(MIN(K23,Parâmetros!$B$8)*Parâmetros!$B$7)-(IF(Parâmetros!$B$15=1,0,Parâmetros!$B$14)*Parâmetros!$B$10))*0.275-Parâmetros!$B$32)))))-IF(K23&lt;=Parâmetros!$B$34,Parâmetros!$B$35-Parâmetros!$B$36*K23,0)))</f>
        <v/>
      </c>
      <c r="Q23" s="18">
        <f>MAX(0,B23-N23-K23)</f>
        <v/>
      </c>
      <c r="R23" s="13">
        <f>B23-N23-O23-P23</f>
        <v/>
      </c>
      <c r="S23" s="23">
        <f>Parâmetros!$B$21</f>
        <v/>
      </c>
      <c r="T23" s="20">
        <f>IF(SUM(B12:B23)=0,0,SUM(S12:S23)/SUM(B12:B23))</f>
        <v/>
      </c>
      <c r="U23" s="21">
        <f>IF(T23&gt;=Parâmetros!$B$6,"III","V")</f>
        <v/>
      </c>
      <c r="V23" s="18">
        <f>IF(U23="III",B23*Parâmetros!$B$4,B23*Parâmetros!$B$5)</f>
        <v/>
      </c>
      <c r="W23" s="18">
        <f>MIN(S23,Parâmetros!$B$8)*Parâmetros!$B$7</f>
        <v/>
      </c>
      <c r="X23" s="18">
        <f>IF(S23&lt;=Parâmetros!$B$33,0,MAX(0,(IF(MAX(0,S23-(MIN(S23,Parâmetros!$B$8)*Parâmetros!$B$7)-(IF(Parâmetros!$B$15=1,0,Parâmetros!$B$14)*Parâmetros!$B$10))&lt;=Parâmetros!$B$25,0,IF(MAX(0,S23-(MIN(S23,Parâmetros!$B$8)*Parâmetros!$B$7)-(IF(Parâmetros!$B$15=1,0,Parâmetros!$B$14)*Parâmetros!$B$10))&lt;=Parâmetros!$B$26,MAX(0,S23-(MIN(S23,Parâmetros!$B$8)*Parâmetros!$B$7)-(IF(Parâmetros!$B$15=1,0,Parâmetros!$B$14)*Parâmetros!$B$10))*0.075-Parâmetros!$B$29,IF(MAX(0,S23-(MIN(S23,Parâmetros!$B$8)*Parâmetros!$B$7)-(IF(Parâmetros!$B$15=1,0,Parâmetros!$B$14)*Parâmetros!$B$10))&lt;=Parâmetros!$B$27,MAX(0,S23-(MIN(S23,Parâmetros!$B$8)*Parâmetros!$B$7)-(IF(Parâmetros!$B$15=1,0,Parâmetros!$B$14)*Parâmetros!$B$10))*0.15-Parâmetros!$B$30,IF(MAX(0,S23-(MIN(S23,Parâmetros!$B$8)*Parâmetros!$B$7)-(IF(Parâmetros!$B$15=1,0,Parâmetros!$B$14)*Parâmetros!$B$10))&lt;=Parâmetros!$B$28,MAX(0,S23-(MIN(S23,Parâmetros!$B$8)*Parâmetros!$B$7)-(IF(Parâmetros!$B$15=1,0,Parâmetros!$B$14)*Parâmetros!$B$10))*0.225-Parâmetros!$B$31,MAX(0,S23-(MIN(S23,Parâmetros!$B$8)*Parâmetros!$B$7)-(IF(Parâmetros!$B$15=1,0,Parâmetros!$B$14)*Parâmetros!$B$10))*0.275-Parâmetros!$B$32)))))-IF(S23&lt;=Parâmetros!$B$34,Parâmetros!$B$35-Parâmetros!$B$36*S23,0)))</f>
        <v/>
      </c>
      <c r="Y23" s="18">
        <f>MAX(0,B23-V23-S23)</f>
        <v/>
      </c>
      <c r="Z23" s="13">
        <f>B23-V23-W23-X23</f>
        <v/>
      </c>
    </row>
    <row r="24">
      <c r="A24" s="35" t="n">
        <v>46235</v>
      </c>
      <c r="B24" s="18">
        <f>Notas!G25</f>
        <v/>
      </c>
      <c r="C24" s="19">
        <f>Parâmetros!$B$19</f>
        <v/>
      </c>
      <c r="D24" s="20">
        <f>IF(SUM(B13:B24)=0,0,SUM(C13:C24)/SUM(B13:B24))</f>
        <v/>
      </c>
      <c r="E24" s="21">
        <f>IF(D24&gt;=Parâmetros!$B$6,"III","V")</f>
        <v/>
      </c>
      <c r="F24" s="18">
        <f>IF(E24="III",B24*Parâmetros!$B$4,B24*Parâmetros!$B$5)</f>
        <v/>
      </c>
      <c r="G24" s="18">
        <f>MIN(C24,Parâmetros!$B$8)*Parâmetros!$B$7</f>
        <v/>
      </c>
      <c r="H24" s="18">
        <f>IF(C24&lt;=Parâmetros!$B$33,0,MAX(0,(IF(MAX(0,C24-(MIN(C24,Parâmetros!$B$8)*Parâmetros!$B$7)-(IF(Parâmetros!$B$15=1,0,Parâmetros!$B$14)*Parâmetros!$B$10))&lt;=Parâmetros!$B$25,0,IF(MAX(0,C24-(MIN(C24,Parâmetros!$B$8)*Parâmetros!$B$7)-(IF(Parâmetros!$B$15=1,0,Parâmetros!$B$14)*Parâmetros!$B$10))&lt;=Parâmetros!$B$26,MAX(0,C24-(MIN(C24,Parâmetros!$B$8)*Parâmetros!$B$7)-(IF(Parâmetros!$B$15=1,0,Parâmetros!$B$14)*Parâmetros!$B$10))*0.075-Parâmetros!$B$29,IF(MAX(0,C24-(MIN(C24,Parâmetros!$B$8)*Parâmetros!$B$7)-(IF(Parâmetros!$B$15=1,0,Parâmetros!$B$14)*Parâmetros!$B$10))&lt;=Parâmetros!$B$27,MAX(0,C24-(MIN(C24,Parâmetros!$B$8)*Parâmetros!$B$7)-(IF(Parâmetros!$B$15=1,0,Parâmetros!$B$14)*Parâmetros!$B$10))*0.15-Parâmetros!$B$30,IF(MAX(0,C24-(MIN(C24,Parâmetros!$B$8)*Parâmetros!$B$7)-(IF(Parâmetros!$B$15=1,0,Parâmetros!$B$14)*Parâmetros!$B$10))&lt;=Parâmetros!$B$28,MAX(0,C24-(MIN(C24,Parâmetros!$B$8)*Parâmetros!$B$7)-(IF(Parâmetros!$B$15=1,0,Parâmetros!$B$14)*Parâmetros!$B$10))*0.225-Parâmetros!$B$31,MAX(0,C24-(MIN(C24,Parâmetros!$B$8)*Parâmetros!$B$7)-(IF(Parâmetros!$B$15=1,0,Parâmetros!$B$14)*Parâmetros!$B$10))*0.275-Parâmetros!$B$32)))))-IF(C24&lt;=Parâmetros!$B$34,Parâmetros!$B$35-Parâmetros!$B$36*C24,0)))</f>
        <v/>
      </c>
      <c r="I24" s="18">
        <f>MAX(0,B24-F24-C24)</f>
        <v/>
      </c>
      <c r="J24" s="13">
        <f>B24-F24-G24-H24</f>
        <v/>
      </c>
      <c r="K24" s="22">
        <f>IF(A24&lt;Parâmetros!$B$23,Parâmetros!$B$19,MAX(Parâmetros!$B$22,Parâmetros!$B$6*SUM(B13:B24)-SUM(K13:K23)))</f>
        <v/>
      </c>
      <c r="L24" s="20">
        <f>IF(SUM(B13:B24)=0,0,SUM(K13:K24)/SUM(B13:B24))</f>
        <v/>
      </c>
      <c r="M24" s="21">
        <f>IF(L24&gt;=Parâmetros!$B$6,"III","V")</f>
        <v/>
      </c>
      <c r="N24" s="18">
        <f>IF(M24="III",B24*Parâmetros!$B$4,B24*Parâmetros!$B$5)</f>
        <v/>
      </c>
      <c r="O24" s="18">
        <f>MIN(K24,Parâmetros!$B$8)*Parâmetros!$B$7</f>
        <v/>
      </c>
      <c r="P24" s="18">
        <f>IF(K24&lt;=Parâmetros!$B$33,0,MAX(0,(IF(MAX(0,K24-(MIN(K24,Parâmetros!$B$8)*Parâmetros!$B$7)-(IF(Parâmetros!$B$15=1,0,Parâmetros!$B$14)*Parâmetros!$B$10))&lt;=Parâmetros!$B$25,0,IF(MAX(0,K24-(MIN(K24,Parâmetros!$B$8)*Parâmetros!$B$7)-(IF(Parâmetros!$B$15=1,0,Parâmetros!$B$14)*Parâmetros!$B$10))&lt;=Parâmetros!$B$26,MAX(0,K24-(MIN(K24,Parâmetros!$B$8)*Parâmetros!$B$7)-(IF(Parâmetros!$B$15=1,0,Parâmetros!$B$14)*Parâmetros!$B$10))*0.075-Parâmetros!$B$29,IF(MAX(0,K24-(MIN(K24,Parâmetros!$B$8)*Parâmetros!$B$7)-(IF(Parâmetros!$B$15=1,0,Parâmetros!$B$14)*Parâmetros!$B$10))&lt;=Parâmetros!$B$27,MAX(0,K24-(MIN(K24,Parâmetros!$B$8)*Parâmetros!$B$7)-(IF(Parâmetros!$B$15=1,0,Parâmetros!$B$14)*Parâmetros!$B$10))*0.15-Parâmetros!$B$30,IF(MAX(0,K24-(MIN(K24,Parâmetros!$B$8)*Parâmetros!$B$7)-(IF(Parâmetros!$B$15=1,0,Parâmetros!$B$14)*Parâmetros!$B$10))&lt;=Parâmetros!$B$28,MAX(0,K24-(MIN(K24,Parâmetros!$B$8)*Parâmetros!$B$7)-(IF(Parâmetros!$B$15=1,0,Parâmetros!$B$14)*Parâmetros!$B$10))*0.225-Parâmetros!$B$31,MAX(0,K24-(MIN(K24,Parâmetros!$B$8)*Parâmetros!$B$7)-(IF(Parâmetros!$B$15=1,0,Parâmetros!$B$14)*Parâmetros!$B$10))*0.275-Parâmetros!$B$32)))))-IF(K24&lt;=Parâmetros!$B$34,Parâmetros!$B$35-Parâmetros!$B$36*K24,0)))</f>
        <v/>
      </c>
      <c r="Q24" s="18">
        <f>MAX(0,B24-N24-K24)</f>
        <v/>
      </c>
      <c r="R24" s="13">
        <f>B24-N24-O24-P24</f>
        <v/>
      </c>
      <c r="S24" s="23">
        <f>Parâmetros!$B$21</f>
        <v/>
      </c>
      <c r="T24" s="20">
        <f>IF(SUM(B13:B24)=0,0,SUM(S13:S24)/SUM(B13:B24))</f>
        <v/>
      </c>
      <c r="U24" s="21">
        <f>IF(T24&gt;=Parâmetros!$B$6,"III","V")</f>
        <v/>
      </c>
      <c r="V24" s="18">
        <f>IF(U24="III",B24*Parâmetros!$B$4,B24*Parâmetros!$B$5)</f>
        <v/>
      </c>
      <c r="W24" s="18">
        <f>MIN(S24,Parâmetros!$B$8)*Parâmetros!$B$7</f>
        <v/>
      </c>
      <c r="X24" s="18">
        <f>IF(S24&lt;=Parâmetros!$B$33,0,MAX(0,(IF(MAX(0,S24-(MIN(S24,Parâmetros!$B$8)*Parâmetros!$B$7)-(IF(Parâmetros!$B$15=1,0,Parâmetros!$B$14)*Parâmetros!$B$10))&lt;=Parâmetros!$B$25,0,IF(MAX(0,S24-(MIN(S24,Parâmetros!$B$8)*Parâmetros!$B$7)-(IF(Parâmetros!$B$15=1,0,Parâmetros!$B$14)*Parâmetros!$B$10))&lt;=Parâmetros!$B$26,MAX(0,S24-(MIN(S24,Parâmetros!$B$8)*Parâmetros!$B$7)-(IF(Parâmetros!$B$15=1,0,Parâmetros!$B$14)*Parâmetros!$B$10))*0.075-Parâmetros!$B$29,IF(MAX(0,S24-(MIN(S24,Parâmetros!$B$8)*Parâmetros!$B$7)-(IF(Parâmetros!$B$15=1,0,Parâmetros!$B$14)*Parâmetros!$B$10))&lt;=Parâmetros!$B$27,MAX(0,S24-(MIN(S24,Parâmetros!$B$8)*Parâmetros!$B$7)-(IF(Parâmetros!$B$15=1,0,Parâmetros!$B$14)*Parâmetros!$B$10))*0.15-Parâmetros!$B$30,IF(MAX(0,S24-(MIN(S24,Parâmetros!$B$8)*Parâmetros!$B$7)-(IF(Parâmetros!$B$15=1,0,Parâmetros!$B$14)*Parâmetros!$B$10))&lt;=Parâmetros!$B$28,MAX(0,S24-(MIN(S24,Parâmetros!$B$8)*Parâmetros!$B$7)-(IF(Parâmetros!$B$15=1,0,Parâmetros!$B$14)*Parâmetros!$B$10))*0.225-Parâmetros!$B$31,MAX(0,S24-(MIN(S24,Parâmetros!$B$8)*Parâmetros!$B$7)-(IF(Parâmetros!$B$15=1,0,Parâmetros!$B$14)*Parâmetros!$B$10))*0.275-Parâmetros!$B$32)))))-IF(S24&lt;=Parâmetros!$B$34,Parâmetros!$B$35-Parâmetros!$B$36*S24,0)))</f>
        <v/>
      </c>
      <c r="Y24" s="18">
        <f>MAX(0,B24-V24-S24)</f>
        <v/>
      </c>
      <c r="Z24" s="13">
        <f>B24-V24-W24-X24</f>
        <v/>
      </c>
    </row>
    <row r="25">
      <c r="A25" s="35" t="n">
        <v>46266</v>
      </c>
      <c r="B25" s="18">
        <f>Notas!G26</f>
        <v/>
      </c>
      <c r="C25" s="19">
        <f>Parâmetros!$B$19</f>
        <v/>
      </c>
      <c r="D25" s="20">
        <f>IF(SUM(B14:B25)=0,0,SUM(C14:C25)/SUM(B14:B25))</f>
        <v/>
      </c>
      <c r="E25" s="21">
        <f>IF(D25&gt;=Parâmetros!$B$6,"III","V")</f>
        <v/>
      </c>
      <c r="F25" s="18">
        <f>IF(E25="III",B25*Parâmetros!$B$4,B25*Parâmetros!$B$5)</f>
        <v/>
      </c>
      <c r="G25" s="18">
        <f>MIN(C25,Parâmetros!$B$8)*Parâmetros!$B$7</f>
        <v/>
      </c>
      <c r="H25" s="18">
        <f>IF(C25&lt;=Parâmetros!$B$33,0,MAX(0,(IF(MAX(0,C25-(MIN(C25,Parâmetros!$B$8)*Parâmetros!$B$7)-(IF(Parâmetros!$B$15=1,0,Parâmetros!$B$14)*Parâmetros!$B$10))&lt;=Parâmetros!$B$25,0,IF(MAX(0,C25-(MIN(C25,Parâmetros!$B$8)*Parâmetros!$B$7)-(IF(Parâmetros!$B$15=1,0,Parâmetros!$B$14)*Parâmetros!$B$10))&lt;=Parâmetros!$B$26,MAX(0,C25-(MIN(C25,Parâmetros!$B$8)*Parâmetros!$B$7)-(IF(Parâmetros!$B$15=1,0,Parâmetros!$B$14)*Parâmetros!$B$10))*0.075-Parâmetros!$B$29,IF(MAX(0,C25-(MIN(C25,Parâmetros!$B$8)*Parâmetros!$B$7)-(IF(Parâmetros!$B$15=1,0,Parâmetros!$B$14)*Parâmetros!$B$10))&lt;=Parâmetros!$B$27,MAX(0,C25-(MIN(C25,Parâmetros!$B$8)*Parâmetros!$B$7)-(IF(Parâmetros!$B$15=1,0,Parâmetros!$B$14)*Parâmetros!$B$10))*0.15-Parâmetros!$B$30,IF(MAX(0,C25-(MIN(C25,Parâmetros!$B$8)*Parâmetros!$B$7)-(IF(Parâmetros!$B$15=1,0,Parâmetros!$B$14)*Parâmetros!$B$10))&lt;=Parâmetros!$B$28,MAX(0,C25-(MIN(C25,Parâmetros!$B$8)*Parâmetros!$B$7)-(IF(Parâmetros!$B$15=1,0,Parâmetros!$B$14)*Parâmetros!$B$10))*0.225-Parâmetros!$B$31,MAX(0,C25-(MIN(C25,Parâmetros!$B$8)*Parâmetros!$B$7)-(IF(Parâmetros!$B$15=1,0,Parâmetros!$B$14)*Parâmetros!$B$10))*0.275-Parâmetros!$B$32)))))-IF(C25&lt;=Parâmetros!$B$34,Parâmetros!$B$35-Parâmetros!$B$36*C25,0)))</f>
        <v/>
      </c>
      <c r="I25" s="18">
        <f>MAX(0,B25-F25-C25)</f>
        <v/>
      </c>
      <c r="J25" s="13">
        <f>B25-F25-G25-H25</f>
        <v/>
      </c>
      <c r="K25" s="22">
        <f>IF(A25&lt;Parâmetros!$B$23,Parâmetros!$B$19,MAX(Parâmetros!$B$22,Parâmetros!$B$6*SUM(B14:B25)-SUM(K14:K24)))</f>
        <v/>
      </c>
      <c r="L25" s="20">
        <f>IF(SUM(B14:B25)=0,0,SUM(K14:K25)/SUM(B14:B25))</f>
        <v/>
      </c>
      <c r="M25" s="21">
        <f>IF(L25&gt;=Parâmetros!$B$6,"III","V")</f>
        <v/>
      </c>
      <c r="N25" s="18">
        <f>IF(M25="III",B25*Parâmetros!$B$4,B25*Parâmetros!$B$5)</f>
        <v/>
      </c>
      <c r="O25" s="18">
        <f>MIN(K25,Parâmetros!$B$8)*Parâmetros!$B$7</f>
        <v/>
      </c>
      <c r="P25" s="18">
        <f>IF(K25&lt;=Parâmetros!$B$33,0,MAX(0,(IF(MAX(0,K25-(MIN(K25,Parâmetros!$B$8)*Parâmetros!$B$7)-(IF(Parâmetros!$B$15=1,0,Parâmetros!$B$14)*Parâmetros!$B$10))&lt;=Parâmetros!$B$25,0,IF(MAX(0,K25-(MIN(K25,Parâmetros!$B$8)*Parâmetros!$B$7)-(IF(Parâmetros!$B$15=1,0,Parâmetros!$B$14)*Parâmetros!$B$10))&lt;=Parâmetros!$B$26,MAX(0,K25-(MIN(K25,Parâmetros!$B$8)*Parâmetros!$B$7)-(IF(Parâmetros!$B$15=1,0,Parâmetros!$B$14)*Parâmetros!$B$10))*0.075-Parâmetros!$B$29,IF(MAX(0,K25-(MIN(K25,Parâmetros!$B$8)*Parâmetros!$B$7)-(IF(Parâmetros!$B$15=1,0,Parâmetros!$B$14)*Parâmetros!$B$10))&lt;=Parâmetros!$B$27,MAX(0,K25-(MIN(K25,Parâmetros!$B$8)*Parâmetros!$B$7)-(IF(Parâmetros!$B$15=1,0,Parâmetros!$B$14)*Parâmetros!$B$10))*0.15-Parâmetros!$B$30,IF(MAX(0,K25-(MIN(K25,Parâmetros!$B$8)*Parâmetros!$B$7)-(IF(Parâmetros!$B$15=1,0,Parâmetros!$B$14)*Parâmetros!$B$10))&lt;=Parâmetros!$B$28,MAX(0,K25-(MIN(K25,Parâmetros!$B$8)*Parâmetros!$B$7)-(IF(Parâmetros!$B$15=1,0,Parâmetros!$B$14)*Parâmetros!$B$10))*0.225-Parâmetros!$B$31,MAX(0,K25-(MIN(K25,Parâmetros!$B$8)*Parâmetros!$B$7)-(IF(Parâmetros!$B$15=1,0,Parâmetros!$B$14)*Parâmetros!$B$10))*0.275-Parâmetros!$B$32)))))-IF(K25&lt;=Parâmetros!$B$34,Parâmetros!$B$35-Parâmetros!$B$36*K25,0)))</f>
        <v/>
      </c>
      <c r="Q25" s="18">
        <f>MAX(0,B25-N25-K25)</f>
        <v/>
      </c>
      <c r="R25" s="13">
        <f>B25-N25-O25-P25</f>
        <v/>
      </c>
      <c r="S25" s="23">
        <f>Parâmetros!$B$21</f>
        <v/>
      </c>
      <c r="T25" s="20">
        <f>IF(SUM(B14:B25)=0,0,SUM(S14:S25)/SUM(B14:B25))</f>
        <v/>
      </c>
      <c r="U25" s="21">
        <f>IF(T25&gt;=Parâmetros!$B$6,"III","V")</f>
        <v/>
      </c>
      <c r="V25" s="18">
        <f>IF(U25="III",B25*Parâmetros!$B$4,B25*Parâmetros!$B$5)</f>
        <v/>
      </c>
      <c r="W25" s="18">
        <f>MIN(S25,Parâmetros!$B$8)*Parâmetros!$B$7</f>
        <v/>
      </c>
      <c r="X25" s="18">
        <f>IF(S25&lt;=Parâmetros!$B$33,0,MAX(0,(IF(MAX(0,S25-(MIN(S25,Parâmetros!$B$8)*Parâmetros!$B$7)-(IF(Parâmetros!$B$15=1,0,Parâmetros!$B$14)*Parâmetros!$B$10))&lt;=Parâmetros!$B$25,0,IF(MAX(0,S25-(MIN(S25,Parâmetros!$B$8)*Parâmetros!$B$7)-(IF(Parâmetros!$B$15=1,0,Parâmetros!$B$14)*Parâmetros!$B$10))&lt;=Parâmetros!$B$26,MAX(0,S25-(MIN(S25,Parâmetros!$B$8)*Parâmetros!$B$7)-(IF(Parâmetros!$B$15=1,0,Parâmetros!$B$14)*Parâmetros!$B$10))*0.075-Parâmetros!$B$29,IF(MAX(0,S25-(MIN(S25,Parâmetros!$B$8)*Parâmetros!$B$7)-(IF(Parâmetros!$B$15=1,0,Parâmetros!$B$14)*Parâmetros!$B$10))&lt;=Parâmetros!$B$27,MAX(0,S25-(MIN(S25,Parâmetros!$B$8)*Parâmetros!$B$7)-(IF(Parâmetros!$B$15=1,0,Parâmetros!$B$14)*Parâmetros!$B$10))*0.15-Parâmetros!$B$30,IF(MAX(0,S25-(MIN(S25,Parâmetros!$B$8)*Parâmetros!$B$7)-(IF(Parâmetros!$B$15=1,0,Parâmetros!$B$14)*Parâmetros!$B$10))&lt;=Parâmetros!$B$28,MAX(0,S25-(MIN(S25,Parâmetros!$B$8)*Parâmetros!$B$7)-(IF(Parâmetros!$B$15=1,0,Parâmetros!$B$14)*Parâmetros!$B$10))*0.225-Parâmetros!$B$31,MAX(0,S25-(MIN(S25,Parâmetros!$B$8)*Parâmetros!$B$7)-(IF(Parâmetros!$B$15=1,0,Parâmetros!$B$14)*Parâmetros!$B$10))*0.275-Parâmetros!$B$32)))))-IF(S25&lt;=Parâmetros!$B$34,Parâmetros!$B$35-Parâmetros!$B$36*S25,0)))</f>
        <v/>
      </c>
      <c r="Y25" s="18">
        <f>MAX(0,B25-V25-S25)</f>
        <v/>
      </c>
      <c r="Z25" s="13">
        <f>B25-V25-W25-X25</f>
        <v/>
      </c>
    </row>
    <row r="26">
      <c r="A26" s="35" t="n">
        <v>46296</v>
      </c>
      <c r="B26" s="18">
        <f>Notas!G27</f>
        <v/>
      </c>
      <c r="C26" s="19">
        <f>Parâmetros!$B$19</f>
        <v/>
      </c>
      <c r="D26" s="20">
        <f>IF(SUM(B15:B26)=0,0,SUM(C15:C26)/SUM(B15:B26))</f>
        <v/>
      </c>
      <c r="E26" s="21">
        <f>IF(D26&gt;=Parâmetros!$B$6,"III","V")</f>
        <v/>
      </c>
      <c r="F26" s="18">
        <f>IF(E26="III",B26*Parâmetros!$B$4,B26*Parâmetros!$B$5)</f>
        <v/>
      </c>
      <c r="G26" s="18">
        <f>MIN(C26,Parâmetros!$B$8)*Parâmetros!$B$7</f>
        <v/>
      </c>
      <c r="H26" s="18">
        <f>IF(C26&lt;=Parâmetros!$B$33,0,MAX(0,(IF(MAX(0,C26-(MIN(C26,Parâmetros!$B$8)*Parâmetros!$B$7)-(IF(Parâmetros!$B$15=1,0,Parâmetros!$B$14)*Parâmetros!$B$10))&lt;=Parâmetros!$B$25,0,IF(MAX(0,C26-(MIN(C26,Parâmetros!$B$8)*Parâmetros!$B$7)-(IF(Parâmetros!$B$15=1,0,Parâmetros!$B$14)*Parâmetros!$B$10))&lt;=Parâmetros!$B$26,MAX(0,C26-(MIN(C26,Parâmetros!$B$8)*Parâmetros!$B$7)-(IF(Parâmetros!$B$15=1,0,Parâmetros!$B$14)*Parâmetros!$B$10))*0.075-Parâmetros!$B$29,IF(MAX(0,C26-(MIN(C26,Parâmetros!$B$8)*Parâmetros!$B$7)-(IF(Parâmetros!$B$15=1,0,Parâmetros!$B$14)*Parâmetros!$B$10))&lt;=Parâmetros!$B$27,MAX(0,C26-(MIN(C26,Parâmetros!$B$8)*Parâmetros!$B$7)-(IF(Parâmetros!$B$15=1,0,Parâmetros!$B$14)*Parâmetros!$B$10))*0.15-Parâmetros!$B$30,IF(MAX(0,C26-(MIN(C26,Parâmetros!$B$8)*Parâmetros!$B$7)-(IF(Parâmetros!$B$15=1,0,Parâmetros!$B$14)*Parâmetros!$B$10))&lt;=Parâmetros!$B$28,MAX(0,C26-(MIN(C26,Parâmetros!$B$8)*Parâmetros!$B$7)-(IF(Parâmetros!$B$15=1,0,Parâmetros!$B$14)*Parâmetros!$B$10))*0.225-Parâmetros!$B$31,MAX(0,C26-(MIN(C26,Parâmetros!$B$8)*Parâmetros!$B$7)-(IF(Parâmetros!$B$15=1,0,Parâmetros!$B$14)*Parâmetros!$B$10))*0.275-Parâmetros!$B$32)))))-IF(C26&lt;=Parâmetros!$B$34,Parâmetros!$B$35-Parâmetros!$B$36*C26,0)))</f>
        <v/>
      </c>
      <c r="I26" s="18">
        <f>MAX(0,B26-F26-C26)</f>
        <v/>
      </c>
      <c r="J26" s="13">
        <f>B26-F26-G26-H26</f>
        <v/>
      </c>
      <c r="K26" s="22">
        <f>IF(A26&lt;Parâmetros!$B$23,Parâmetros!$B$19,MAX(Parâmetros!$B$22,Parâmetros!$B$6*SUM(B15:B26)-SUM(K15:K25)))</f>
        <v/>
      </c>
      <c r="L26" s="20">
        <f>IF(SUM(B15:B26)=0,0,SUM(K15:K26)/SUM(B15:B26))</f>
        <v/>
      </c>
      <c r="M26" s="21">
        <f>IF(L26&gt;=Parâmetros!$B$6,"III","V")</f>
        <v/>
      </c>
      <c r="N26" s="18">
        <f>IF(M26="III",B26*Parâmetros!$B$4,B26*Parâmetros!$B$5)</f>
        <v/>
      </c>
      <c r="O26" s="18">
        <f>MIN(K26,Parâmetros!$B$8)*Parâmetros!$B$7</f>
        <v/>
      </c>
      <c r="P26" s="18">
        <f>IF(K26&lt;=Parâmetros!$B$33,0,MAX(0,(IF(MAX(0,K26-(MIN(K26,Parâmetros!$B$8)*Parâmetros!$B$7)-(IF(Parâmetros!$B$15=1,0,Parâmetros!$B$14)*Parâmetros!$B$10))&lt;=Parâmetros!$B$25,0,IF(MAX(0,K26-(MIN(K26,Parâmetros!$B$8)*Parâmetros!$B$7)-(IF(Parâmetros!$B$15=1,0,Parâmetros!$B$14)*Parâmetros!$B$10))&lt;=Parâmetros!$B$26,MAX(0,K26-(MIN(K26,Parâmetros!$B$8)*Parâmetros!$B$7)-(IF(Parâmetros!$B$15=1,0,Parâmetros!$B$14)*Parâmetros!$B$10))*0.075-Parâmetros!$B$29,IF(MAX(0,K26-(MIN(K26,Parâmetros!$B$8)*Parâmetros!$B$7)-(IF(Parâmetros!$B$15=1,0,Parâmetros!$B$14)*Parâmetros!$B$10))&lt;=Parâmetros!$B$27,MAX(0,K26-(MIN(K26,Parâmetros!$B$8)*Parâmetros!$B$7)-(IF(Parâmetros!$B$15=1,0,Parâmetros!$B$14)*Parâmetros!$B$10))*0.15-Parâmetros!$B$30,IF(MAX(0,K26-(MIN(K26,Parâmetros!$B$8)*Parâmetros!$B$7)-(IF(Parâmetros!$B$15=1,0,Parâmetros!$B$14)*Parâmetros!$B$10))&lt;=Parâmetros!$B$28,MAX(0,K26-(MIN(K26,Parâmetros!$B$8)*Parâmetros!$B$7)-(IF(Parâmetros!$B$15=1,0,Parâmetros!$B$14)*Parâmetros!$B$10))*0.225-Parâmetros!$B$31,MAX(0,K26-(MIN(K26,Parâmetros!$B$8)*Parâmetros!$B$7)-(IF(Parâmetros!$B$15=1,0,Parâmetros!$B$14)*Parâmetros!$B$10))*0.275-Parâmetros!$B$32)))))-IF(K26&lt;=Parâmetros!$B$34,Parâmetros!$B$35-Parâmetros!$B$36*K26,0)))</f>
        <v/>
      </c>
      <c r="Q26" s="18">
        <f>MAX(0,B26-N26-K26)</f>
        <v/>
      </c>
      <c r="R26" s="13">
        <f>B26-N26-O26-P26</f>
        <v/>
      </c>
      <c r="S26" s="23">
        <f>Parâmetros!$B$21</f>
        <v/>
      </c>
      <c r="T26" s="20">
        <f>IF(SUM(B15:B26)=0,0,SUM(S15:S26)/SUM(B15:B26))</f>
        <v/>
      </c>
      <c r="U26" s="21">
        <f>IF(T26&gt;=Parâmetros!$B$6,"III","V")</f>
        <v/>
      </c>
      <c r="V26" s="18">
        <f>IF(U26="III",B26*Parâmetros!$B$4,B26*Parâmetros!$B$5)</f>
        <v/>
      </c>
      <c r="W26" s="18">
        <f>MIN(S26,Parâmetros!$B$8)*Parâmetros!$B$7</f>
        <v/>
      </c>
      <c r="X26" s="18">
        <f>IF(S26&lt;=Parâmetros!$B$33,0,MAX(0,(IF(MAX(0,S26-(MIN(S26,Parâmetros!$B$8)*Parâmetros!$B$7)-(IF(Parâmetros!$B$15=1,0,Parâmetros!$B$14)*Parâmetros!$B$10))&lt;=Parâmetros!$B$25,0,IF(MAX(0,S26-(MIN(S26,Parâmetros!$B$8)*Parâmetros!$B$7)-(IF(Parâmetros!$B$15=1,0,Parâmetros!$B$14)*Parâmetros!$B$10))&lt;=Parâmetros!$B$26,MAX(0,S26-(MIN(S26,Parâmetros!$B$8)*Parâmetros!$B$7)-(IF(Parâmetros!$B$15=1,0,Parâmetros!$B$14)*Parâmetros!$B$10))*0.075-Parâmetros!$B$29,IF(MAX(0,S26-(MIN(S26,Parâmetros!$B$8)*Parâmetros!$B$7)-(IF(Parâmetros!$B$15=1,0,Parâmetros!$B$14)*Parâmetros!$B$10))&lt;=Parâmetros!$B$27,MAX(0,S26-(MIN(S26,Parâmetros!$B$8)*Parâmetros!$B$7)-(IF(Parâmetros!$B$15=1,0,Parâmetros!$B$14)*Parâmetros!$B$10))*0.15-Parâmetros!$B$30,IF(MAX(0,S26-(MIN(S26,Parâmetros!$B$8)*Parâmetros!$B$7)-(IF(Parâmetros!$B$15=1,0,Parâmetros!$B$14)*Parâmetros!$B$10))&lt;=Parâmetros!$B$28,MAX(0,S26-(MIN(S26,Parâmetros!$B$8)*Parâmetros!$B$7)-(IF(Parâmetros!$B$15=1,0,Parâmetros!$B$14)*Parâmetros!$B$10))*0.225-Parâmetros!$B$31,MAX(0,S26-(MIN(S26,Parâmetros!$B$8)*Parâmetros!$B$7)-(IF(Parâmetros!$B$15=1,0,Parâmetros!$B$14)*Parâmetros!$B$10))*0.275-Parâmetros!$B$32)))))-IF(S26&lt;=Parâmetros!$B$34,Parâmetros!$B$35-Parâmetros!$B$36*S26,0)))</f>
        <v/>
      </c>
      <c r="Y26" s="18">
        <f>MAX(0,B26-V26-S26)</f>
        <v/>
      </c>
      <c r="Z26" s="13">
        <f>B26-V26-W26-X26</f>
        <v/>
      </c>
    </row>
    <row r="27">
      <c r="A27" s="35" t="n">
        <v>46327</v>
      </c>
      <c r="B27" s="18">
        <f>Notas!G28</f>
        <v/>
      </c>
      <c r="C27" s="19">
        <f>Parâmetros!$B$19</f>
        <v/>
      </c>
      <c r="D27" s="20">
        <f>IF(SUM(B16:B27)=0,0,SUM(C16:C27)/SUM(B16:B27))</f>
        <v/>
      </c>
      <c r="E27" s="21">
        <f>IF(D27&gt;=Parâmetros!$B$6,"III","V")</f>
        <v/>
      </c>
      <c r="F27" s="18">
        <f>IF(E27="III",B27*Parâmetros!$B$4,B27*Parâmetros!$B$5)</f>
        <v/>
      </c>
      <c r="G27" s="18">
        <f>MIN(C27,Parâmetros!$B$8)*Parâmetros!$B$7</f>
        <v/>
      </c>
      <c r="H27" s="18">
        <f>IF(C27&lt;=Parâmetros!$B$33,0,MAX(0,(IF(MAX(0,C27-(MIN(C27,Parâmetros!$B$8)*Parâmetros!$B$7)-(IF(Parâmetros!$B$15=1,0,Parâmetros!$B$14)*Parâmetros!$B$10))&lt;=Parâmetros!$B$25,0,IF(MAX(0,C27-(MIN(C27,Parâmetros!$B$8)*Parâmetros!$B$7)-(IF(Parâmetros!$B$15=1,0,Parâmetros!$B$14)*Parâmetros!$B$10))&lt;=Parâmetros!$B$26,MAX(0,C27-(MIN(C27,Parâmetros!$B$8)*Parâmetros!$B$7)-(IF(Parâmetros!$B$15=1,0,Parâmetros!$B$14)*Parâmetros!$B$10))*0.075-Parâmetros!$B$29,IF(MAX(0,C27-(MIN(C27,Parâmetros!$B$8)*Parâmetros!$B$7)-(IF(Parâmetros!$B$15=1,0,Parâmetros!$B$14)*Parâmetros!$B$10))&lt;=Parâmetros!$B$27,MAX(0,C27-(MIN(C27,Parâmetros!$B$8)*Parâmetros!$B$7)-(IF(Parâmetros!$B$15=1,0,Parâmetros!$B$14)*Parâmetros!$B$10))*0.15-Parâmetros!$B$30,IF(MAX(0,C27-(MIN(C27,Parâmetros!$B$8)*Parâmetros!$B$7)-(IF(Parâmetros!$B$15=1,0,Parâmetros!$B$14)*Parâmetros!$B$10))&lt;=Parâmetros!$B$28,MAX(0,C27-(MIN(C27,Parâmetros!$B$8)*Parâmetros!$B$7)-(IF(Parâmetros!$B$15=1,0,Parâmetros!$B$14)*Parâmetros!$B$10))*0.225-Parâmetros!$B$31,MAX(0,C27-(MIN(C27,Parâmetros!$B$8)*Parâmetros!$B$7)-(IF(Parâmetros!$B$15=1,0,Parâmetros!$B$14)*Parâmetros!$B$10))*0.275-Parâmetros!$B$32)))))-IF(C27&lt;=Parâmetros!$B$34,Parâmetros!$B$35-Parâmetros!$B$36*C27,0)))</f>
        <v/>
      </c>
      <c r="I27" s="18">
        <f>MAX(0,B27-F27-C27)</f>
        <v/>
      </c>
      <c r="J27" s="13">
        <f>B27-F27-G27-H27</f>
        <v/>
      </c>
      <c r="K27" s="22">
        <f>IF(A27&lt;Parâmetros!$B$23,Parâmetros!$B$19,MAX(Parâmetros!$B$22,Parâmetros!$B$6*SUM(B16:B27)-SUM(K16:K26)))</f>
        <v/>
      </c>
      <c r="L27" s="20">
        <f>IF(SUM(B16:B27)=0,0,SUM(K16:K27)/SUM(B16:B27))</f>
        <v/>
      </c>
      <c r="M27" s="21">
        <f>IF(L27&gt;=Parâmetros!$B$6,"III","V")</f>
        <v/>
      </c>
      <c r="N27" s="18">
        <f>IF(M27="III",B27*Parâmetros!$B$4,B27*Parâmetros!$B$5)</f>
        <v/>
      </c>
      <c r="O27" s="18">
        <f>MIN(K27,Parâmetros!$B$8)*Parâmetros!$B$7</f>
        <v/>
      </c>
      <c r="P27" s="18">
        <f>IF(K27&lt;=Parâmetros!$B$33,0,MAX(0,(IF(MAX(0,K27-(MIN(K27,Parâmetros!$B$8)*Parâmetros!$B$7)-(IF(Parâmetros!$B$15=1,0,Parâmetros!$B$14)*Parâmetros!$B$10))&lt;=Parâmetros!$B$25,0,IF(MAX(0,K27-(MIN(K27,Parâmetros!$B$8)*Parâmetros!$B$7)-(IF(Parâmetros!$B$15=1,0,Parâmetros!$B$14)*Parâmetros!$B$10))&lt;=Parâmetros!$B$26,MAX(0,K27-(MIN(K27,Parâmetros!$B$8)*Parâmetros!$B$7)-(IF(Parâmetros!$B$15=1,0,Parâmetros!$B$14)*Parâmetros!$B$10))*0.075-Parâmetros!$B$29,IF(MAX(0,K27-(MIN(K27,Parâmetros!$B$8)*Parâmetros!$B$7)-(IF(Parâmetros!$B$15=1,0,Parâmetros!$B$14)*Parâmetros!$B$10))&lt;=Parâmetros!$B$27,MAX(0,K27-(MIN(K27,Parâmetros!$B$8)*Parâmetros!$B$7)-(IF(Parâmetros!$B$15=1,0,Parâmetros!$B$14)*Parâmetros!$B$10))*0.15-Parâmetros!$B$30,IF(MAX(0,K27-(MIN(K27,Parâmetros!$B$8)*Parâmetros!$B$7)-(IF(Parâmetros!$B$15=1,0,Parâmetros!$B$14)*Parâmetros!$B$10))&lt;=Parâmetros!$B$28,MAX(0,K27-(MIN(K27,Parâmetros!$B$8)*Parâmetros!$B$7)-(IF(Parâmetros!$B$15=1,0,Parâmetros!$B$14)*Parâmetros!$B$10))*0.225-Parâmetros!$B$31,MAX(0,K27-(MIN(K27,Parâmetros!$B$8)*Parâmetros!$B$7)-(IF(Parâmetros!$B$15=1,0,Parâmetros!$B$14)*Parâmetros!$B$10))*0.275-Parâmetros!$B$32)))))-IF(K27&lt;=Parâmetros!$B$34,Parâmetros!$B$35-Parâmetros!$B$36*K27,0)))</f>
        <v/>
      </c>
      <c r="Q27" s="18">
        <f>MAX(0,B27-N27-K27)</f>
        <v/>
      </c>
      <c r="R27" s="13">
        <f>B27-N27-O27-P27</f>
        <v/>
      </c>
      <c r="S27" s="23">
        <f>Parâmetros!$B$21</f>
        <v/>
      </c>
      <c r="T27" s="20">
        <f>IF(SUM(B16:B27)=0,0,SUM(S16:S27)/SUM(B16:B27))</f>
        <v/>
      </c>
      <c r="U27" s="21">
        <f>IF(T27&gt;=Parâmetros!$B$6,"III","V")</f>
        <v/>
      </c>
      <c r="V27" s="18">
        <f>IF(U27="III",B27*Parâmetros!$B$4,B27*Parâmetros!$B$5)</f>
        <v/>
      </c>
      <c r="W27" s="18">
        <f>MIN(S27,Parâmetros!$B$8)*Parâmetros!$B$7</f>
        <v/>
      </c>
      <c r="X27" s="18">
        <f>IF(S27&lt;=Parâmetros!$B$33,0,MAX(0,(IF(MAX(0,S27-(MIN(S27,Parâmetros!$B$8)*Parâmetros!$B$7)-(IF(Parâmetros!$B$15=1,0,Parâmetros!$B$14)*Parâmetros!$B$10))&lt;=Parâmetros!$B$25,0,IF(MAX(0,S27-(MIN(S27,Parâmetros!$B$8)*Parâmetros!$B$7)-(IF(Parâmetros!$B$15=1,0,Parâmetros!$B$14)*Parâmetros!$B$10))&lt;=Parâmetros!$B$26,MAX(0,S27-(MIN(S27,Parâmetros!$B$8)*Parâmetros!$B$7)-(IF(Parâmetros!$B$15=1,0,Parâmetros!$B$14)*Parâmetros!$B$10))*0.075-Parâmetros!$B$29,IF(MAX(0,S27-(MIN(S27,Parâmetros!$B$8)*Parâmetros!$B$7)-(IF(Parâmetros!$B$15=1,0,Parâmetros!$B$14)*Parâmetros!$B$10))&lt;=Parâmetros!$B$27,MAX(0,S27-(MIN(S27,Parâmetros!$B$8)*Parâmetros!$B$7)-(IF(Parâmetros!$B$15=1,0,Parâmetros!$B$14)*Parâmetros!$B$10))*0.15-Parâmetros!$B$30,IF(MAX(0,S27-(MIN(S27,Parâmetros!$B$8)*Parâmetros!$B$7)-(IF(Parâmetros!$B$15=1,0,Parâmetros!$B$14)*Parâmetros!$B$10))&lt;=Parâmetros!$B$28,MAX(0,S27-(MIN(S27,Parâmetros!$B$8)*Parâmetros!$B$7)-(IF(Parâmetros!$B$15=1,0,Parâmetros!$B$14)*Parâmetros!$B$10))*0.225-Parâmetros!$B$31,MAX(0,S27-(MIN(S27,Parâmetros!$B$8)*Parâmetros!$B$7)-(IF(Parâmetros!$B$15=1,0,Parâmetros!$B$14)*Parâmetros!$B$10))*0.275-Parâmetros!$B$32)))))-IF(S27&lt;=Parâmetros!$B$34,Parâmetros!$B$35-Parâmetros!$B$36*S27,0)))</f>
        <v/>
      </c>
      <c r="Y27" s="18">
        <f>MAX(0,B27-V27-S27)</f>
        <v/>
      </c>
      <c r="Z27" s="13">
        <f>B27-V27-W27-X27</f>
        <v/>
      </c>
    </row>
    <row r="28">
      <c r="A28" s="35" t="n">
        <v>46357</v>
      </c>
      <c r="B28" s="18">
        <f>Notas!G29</f>
        <v/>
      </c>
      <c r="C28" s="19">
        <f>Parâmetros!$B$19</f>
        <v/>
      </c>
      <c r="D28" s="20">
        <f>IF(SUM(B17:B28)=0,0,SUM(C17:C28)/SUM(B17:B28))</f>
        <v/>
      </c>
      <c r="E28" s="21">
        <f>IF(D28&gt;=Parâmetros!$B$6,"III","V")</f>
        <v/>
      </c>
      <c r="F28" s="18">
        <f>IF(E28="III",B28*Parâmetros!$B$4,B28*Parâmetros!$B$5)</f>
        <v/>
      </c>
      <c r="G28" s="18">
        <f>MIN(C28,Parâmetros!$B$8)*Parâmetros!$B$7</f>
        <v/>
      </c>
      <c r="H28" s="18">
        <f>IF(C28&lt;=Parâmetros!$B$33,0,MAX(0,(IF(MAX(0,C28-(MIN(C28,Parâmetros!$B$8)*Parâmetros!$B$7)-(IF(Parâmetros!$B$15=1,0,Parâmetros!$B$14)*Parâmetros!$B$10))&lt;=Parâmetros!$B$25,0,IF(MAX(0,C28-(MIN(C28,Parâmetros!$B$8)*Parâmetros!$B$7)-(IF(Parâmetros!$B$15=1,0,Parâmetros!$B$14)*Parâmetros!$B$10))&lt;=Parâmetros!$B$26,MAX(0,C28-(MIN(C28,Parâmetros!$B$8)*Parâmetros!$B$7)-(IF(Parâmetros!$B$15=1,0,Parâmetros!$B$14)*Parâmetros!$B$10))*0.075-Parâmetros!$B$29,IF(MAX(0,C28-(MIN(C28,Parâmetros!$B$8)*Parâmetros!$B$7)-(IF(Parâmetros!$B$15=1,0,Parâmetros!$B$14)*Parâmetros!$B$10))&lt;=Parâmetros!$B$27,MAX(0,C28-(MIN(C28,Parâmetros!$B$8)*Parâmetros!$B$7)-(IF(Parâmetros!$B$15=1,0,Parâmetros!$B$14)*Parâmetros!$B$10))*0.15-Parâmetros!$B$30,IF(MAX(0,C28-(MIN(C28,Parâmetros!$B$8)*Parâmetros!$B$7)-(IF(Parâmetros!$B$15=1,0,Parâmetros!$B$14)*Parâmetros!$B$10))&lt;=Parâmetros!$B$28,MAX(0,C28-(MIN(C28,Parâmetros!$B$8)*Parâmetros!$B$7)-(IF(Parâmetros!$B$15=1,0,Parâmetros!$B$14)*Parâmetros!$B$10))*0.225-Parâmetros!$B$31,MAX(0,C28-(MIN(C28,Parâmetros!$B$8)*Parâmetros!$B$7)-(IF(Parâmetros!$B$15=1,0,Parâmetros!$B$14)*Parâmetros!$B$10))*0.275-Parâmetros!$B$32)))))-IF(C28&lt;=Parâmetros!$B$34,Parâmetros!$B$35-Parâmetros!$B$36*C28,0)))</f>
        <v/>
      </c>
      <c r="I28" s="18">
        <f>MAX(0,B28-F28-C28)</f>
        <v/>
      </c>
      <c r="J28" s="13">
        <f>B28-F28-G28-H28</f>
        <v/>
      </c>
      <c r="K28" s="22">
        <f>IF(A28&lt;Parâmetros!$B$23,Parâmetros!$B$19,MAX(Parâmetros!$B$22,Parâmetros!$B$6*SUM(B17:B28)-SUM(K17:K27)))</f>
        <v/>
      </c>
      <c r="L28" s="20">
        <f>IF(SUM(B17:B28)=0,0,SUM(K17:K28)/SUM(B17:B28))</f>
        <v/>
      </c>
      <c r="M28" s="21">
        <f>IF(L28&gt;=Parâmetros!$B$6,"III","V")</f>
        <v/>
      </c>
      <c r="N28" s="18">
        <f>IF(M28="III",B28*Parâmetros!$B$4,B28*Parâmetros!$B$5)</f>
        <v/>
      </c>
      <c r="O28" s="18">
        <f>MIN(K28,Parâmetros!$B$8)*Parâmetros!$B$7</f>
        <v/>
      </c>
      <c r="P28" s="18">
        <f>IF(K28&lt;=Parâmetros!$B$33,0,MAX(0,(IF(MAX(0,K28-(MIN(K28,Parâmetros!$B$8)*Parâmetros!$B$7)-(IF(Parâmetros!$B$15=1,0,Parâmetros!$B$14)*Parâmetros!$B$10))&lt;=Parâmetros!$B$25,0,IF(MAX(0,K28-(MIN(K28,Parâmetros!$B$8)*Parâmetros!$B$7)-(IF(Parâmetros!$B$15=1,0,Parâmetros!$B$14)*Parâmetros!$B$10))&lt;=Parâmetros!$B$26,MAX(0,K28-(MIN(K28,Parâmetros!$B$8)*Parâmetros!$B$7)-(IF(Parâmetros!$B$15=1,0,Parâmetros!$B$14)*Parâmetros!$B$10))*0.075-Parâmetros!$B$29,IF(MAX(0,K28-(MIN(K28,Parâmetros!$B$8)*Parâmetros!$B$7)-(IF(Parâmetros!$B$15=1,0,Parâmetros!$B$14)*Parâmetros!$B$10))&lt;=Parâmetros!$B$27,MAX(0,K28-(MIN(K28,Parâmetros!$B$8)*Parâmetros!$B$7)-(IF(Parâmetros!$B$15=1,0,Parâmetros!$B$14)*Parâmetros!$B$10))*0.15-Parâmetros!$B$30,IF(MAX(0,K28-(MIN(K28,Parâmetros!$B$8)*Parâmetros!$B$7)-(IF(Parâmetros!$B$15=1,0,Parâmetros!$B$14)*Parâmetros!$B$10))&lt;=Parâmetros!$B$28,MAX(0,K28-(MIN(K28,Parâmetros!$B$8)*Parâmetros!$B$7)-(IF(Parâmetros!$B$15=1,0,Parâmetros!$B$14)*Parâmetros!$B$10))*0.225-Parâmetros!$B$31,MAX(0,K28-(MIN(K28,Parâmetros!$B$8)*Parâmetros!$B$7)-(IF(Parâmetros!$B$15=1,0,Parâmetros!$B$14)*Parâmetros!$B$10))*0.275-Parâmetros!$B$32)))))-IF(K28&lt;=Parâmetros!$B$34,Parâmetros!$B$35-Parâmetros!$B$36*K28,0)))</f>
        <v/>
      </c>
      <c r="Q28" s="18">
        <f>MAX(0,B28-N28-K28)</f>
        <v/>
      </c>
      <c r="R28" s="13">
        <f>B28-N28-O28-P28</f>
        <v/>
      </c>
      <c r="S28" s="23">
        <f>Parâmetros!$B$21</f>
        <v/>
      </c>
      <c r="T28" s="20">
        <f>IF(SUM(B17:B28)=0,0,SUM(S17:S28)/SUM(B17:B28))</f>
        <v/>
      </c>
      <c r="U28" s="21">
        <f>IF(T28&gt;=Parâmetros!$B$6,"III","V")</f>
        <v/>
      </c>
      <c r="V28" s="18">
        <f>IF(U28="III",B28*Parâmetros!$B$4,B28*Parâmetros!$B$5)</f>
        <v/>
      </c>
      <c r="W28" s="18">
        <f>MIN(S28,Parâmetros!$B$8)*Parâmetros!$B$7</f>
        <v/>
      </c>
      <c r="X28" s="18">
        <f>IF(S28&lt;=Parâmetros!$B$33,0,MAX(0,(IF(MAX(0,S28-(MIN(S28,Parâmetros!$B$8)*Parâmetros!$B$7)-(IF(Parâmetros!$B$15=1,0,Parâmetros!$B$14)*Parâmetros!$B$10))&lt;=Parâmetros!$B$25,0,IF(MAX(0,S28-(MIN(S28,Parâmetros!$B$8)*Parâmetros!$B$7)-(IF(Parâmetros!$B$15=1,0,Parâmetros!$B$14)*Parâmetros!$B$10))&lt;=Parâmetros!$B$26,MAX(0,S28-(MIN(S28,Parâmetros!$B$8)*Parâmetros!$B$7)-(IF(Parâmetros!$B$15=1,0,Parâmetros!$B$14)*Parâmetros!$B$10))*0.075-Parâmetros!$B$29,IF(MAX(0,S28-(MIN(S28,Parâmetros!$B$8)*Parâmetros!$B$7)-(IF(Parâmetros!$B$15=1,0,Parâmetros!$B$14)*Parâmetros!$B$10))&lt;=Parâmetros!$B$27,MAX(0,S28-(MIN(S28,Parâmetros!$B$8)*Parâmetros!$B$7)-(IF(Parâmetros!$B$15=1,0,Parâmetros!$B$14)*Parâmetros!$B$10))*0.15-Parâmetros!$B$30,IF(MAX(0,S28-(MIN(S28,Parâmetros!$B$8)*Parâmetros!$B$7)-(IF(Parâmetros!$B$15=1,0,Parâmetros!$B$14)*Parâmetros!$B$10))&lt;=Parâmetros!$B$28,MAX(0,S28-(MIN(S28,Parâmetros!$B$8)*Parâmetros!$B$7)-(IF(Parâmetros!$B$15=1,0,Parâmetros!$B$14)*Parâmetros!$B$10))*0.225-Parâmetros!$B$31,MAX(0,S28-(MIN(S28,Parâmetros!$B$8)*Parâmetros!$B$7)-(IF(Parâmetros!$B$15=1,0,Parâmetros!$B$14)*Parâmetros!$B$10))*0.275-Parâmetros!$B$32)))))-IF(S28&lt;=Parâmetros!$B$34,Parâmetros!$B$35-Parâmetros!$B$36*S28,0)))</f>
        <v/>
      </c>
      <c r="Y28" s="18">
        <f>MAX(0,B28-V28-S28)</f>
        <v/>
      </c>
      <c r="Z28" s="13">
        <f>B28-V28-W28-X28</f>
        <v/>
      </c>
    </row>
    <row r="29">
      <c r="A29" s="35" t="n">
        <v>46388</v>
      </c>
      <c r="B29" s="18">
        <f>Notas!G30</f>
        <v/>
      </c>
      <c r="C29" s="19">
        <f>Parâmetros!$B$19</f>
        <v/>
      </c>
      <c r="D29" s="20">
        <f>IF(SUM(B18:B29)=0,0,SUM(C18:C29)/SUM(B18:B29))</f>
        <v/>
      </c>
      <c r="E29" s="21">
        <f>IF(D29&gt;=Parâmetros!$B$6,"III","V")</f>
        <v/>
      </c>
      <c r="F29" s="18">
        <f>IF(E29="III",B29*Parâmetros!$B$4,B29*Parâmetros!$B$5)</f>
        <v/>
      </c>
      <c r="G29" s="18">
        <f>MIN(C29,Parâmetros!$B$8)*Parâmetros!$B$7</f>
        <v/>
      </c>
      <c r="H29" s="18">
        <f>IF(C29&lt;=Parâmetros!$B$33,0,MAX(0,(IF(MAX(0,C29-(MIN(C29,Parâmetros!$B$8)*Parâmetros!$B$7)-(IF(Parâmetros!$B$15=1,0,Parâmetros!$B$14)*Parâmetros!$B$10))&lt;=Parâmetros!$B$25,0,IF(MAX(0,C29-(MIN(C29,Parâmetros!$B$8)*Parâmetros!$B$7)-(IF(Parâmetros!$B$15=1,0,Parâmetros!$B$14)*Parâmetros!$B$10))&lt;=Parâmetros!$B$26,MAX(0,C29-(MIN(C29,Parâmetros!$B$8)*Parâmetros!$B$7)-(IF(Parâmetros!$B$15=1,0,Parâmetros!$B$14)*Parâmetros!$B$10))*0.075-Parâmetros!$B$29,IF(MAX(0,C29-(MIN(C29,Parâmetros!$B$8)*Parâmetros!$B$7)-(IF(Parâmetros!$B$15=1,0,Parâmetros!$B$14)*Parâmetros!$B$10))&lt;=Parâmetros!$B$27,MAX(0,C29-(MIN(C29,Parâmetros!$B$8)*Parâmetros!$B$7)-(IF(Parâmetros!$B$15=1,0,Parâmetros!$B$14)*Parâmetros!$B$10))*0.15-Parâmetros!$B$30,IF(MAX(0,C29-(MIN(C29,Parâmetros!$B$8)*Parâmetros!$B$7)-(IF(Parâmetros!$B$15=1,0,Parâmetros!$B$14)*Parâmetros!$B$10))&lt;=Parâmetros!$B$28,MAX(0,C29-(MIN(C29,Parâmetros!$B$8)*Parâmetros!$B$7)-(IF(Parâmetros!$B$15=1,0,Parâmetros!$B$14)*Parâmetros!$B$10))*0.225-Parâmetros!$B$31,MAX(0,C29-(MIN(C29,Parâmetros!$B$8)*Parâmetros!$B$7)-(IF(Parâmetros!$B$15=1,0,Parâmetros!$B$14)*Parâmetros!$B$10))*0.275-Parâmetros!$B$32)))))-IF(C29&lt;=Parâmetros!$B$34,Parâmetros!$B$35-Parâmetros!$B$36*C29,0)))</f>
        <v/>
      </c>
      <c r="I29" s="18">
        <f>MAX(0,B29-F29-C29)</f>
        <v/>
      </c>
      <c r="J29" s="13">
        <f>B29-F29-G29-H29</f>
        <v/>
      </c>
      <c r="K29" s="22">
        <f>IF(A29&lt;Parâmetros!$B$23,Parâmetros!$B$19,MAX(Parâmetros!$B$22,Parâmetros!$B$6*SUM(B18:B29)-SUM(K18:K28)))</f>
        <v/>
      </c>
      <c r="L29" s="20">
        <f>IF(SUM(B18:B29)=0,0,SUM(K18:K29)/SUM(B18:B29))</f>
        <v/>
      </c>
      <c r="M29" s="21">
        <f>IF(L29&gt;=Parâmetros!$B$6,"III","V")</f>
        <v/>
      </c>
      <c r="N29" s="18">
        <f>IF(M29="III",B29*Parâmetros!$B$4,B29*Parâmetros!$B$5)</f>
        <v/>
      </c>
      <c r="O29" s="18">
        <f>MIN(K29,Parâmetros!$B$8)*Parâmetros!$B$7</f>
        <v/>
      </c>
      <c r="P29" s="18">
        <f>IF(K29&lt;=Parâmetros!$B$33,0,MAX(0,(IF(MAX(0,K29-(MIN(K29,Parâmetros!$B$8)*Parâmetros!$B$7)-(IF(Parâmetros!$B$15=1,0,Parâmetros!$B$14)*Parâmetros!$B$10))&lt;=Parâmetros!$B$25,0,IF(MAX(0,K29-(MIN(K29,Parâmetros!$B$8)*Parâmetros!$B$7)-(IF(Parâmetros!$B$15=1,0,Parâmetros!$B$14)*Parâmetros!$B$10))&lt;=Parâmetros!$B$26,MAX(0,K29-(MIN(K29,Parâmetros!$B$8)*Parâmetros!$B$7)-(IF(Parâmetros!$B$15=1,0,Parâmetros!$B$14)*Parâmetros!$B$10))*0.075-Parâmetros!$B$29,IF(MAX(0,K29-(MIN(K29,Parâmetros!$B$8)*Parâmetros!$B$7)-(IF(Parâmetros!$B$15=1,0,Parâmetros!$B$14)*Parâmetros!$B$10))&lt;=Parâmetros!$B$27,MAX(0,K29-(MIN(K29,Parâmetros!$B$8)*Parâmetros!$B$7)-(IF(Parâmetros!$B$15=1,0,Parâmetros!$B$14)*Parâmetros!$B$10))*0.15-Parâmetros!$B$30,IF(MAX(0,K29-(MIN(K29,Parâmetros!$B$8)*Parâmetros!$B$7)-(IF(Parâmetros!$B$15=1,0,Parâmetros!$B$14)*Parâmetros!$B$10))&lt;=Parâmetros!$B$28,MAX(0,K29-(MIN(K29,Parâmetros!$B$8)*Parâmetros!$B$7)-(IF(Parâmetros!$B$15=1,0,Parâmetros!$B$14)*Parâmetros!$B$10))*0.225-Parâmetros!$B$31,MAX(0,K29-(MIN(K29,Parâmetros!$B$8)*Parâmetros!$B$7)-(IF(Parâmetros!$B$15=1,0,Parâmetros!$B$14)*Parâmetros!$B$10))*0.275-Parâmetros!$B$32)))))-IF(K29&lt;=Parâmetros!$B$34,Parâmetros!$B$35-Parâmetros!$B$36*K29,0)))</f>
        <v/>
      </c>
      <c r="Q29" s="18">
        <f>MAX(0,B29-N29-K29)</f>
        <v/>
      </c>
      <c r="R29" s="13">
        <f>B29-N29-O29-P29</f>
        <v/>
      </c>
      <c r="S29" s="23">
        <f>Parâmetros!$B$21</f>
        <v/>
      </c>
      <c r="T29" s="20">
        <f>IF(SUM(B18:B29)=0,0,SUM(S18:S29)/SUM(B18:B29))</f>
        <v/>
      </c>
      <c r="U29" s="21">
        <f>IF(T29&gt;=Parâmetros!$B$6,"III","V")</f>
        <v/>
      </c>
      <c r="V29" s="18">
        <f>IF(U29="III",B29*Parâmetros!$B$4,B29*Parâmetros!$B$5)</f>
        <v/>
      </c>
      <c r="W29" s="18">
        <f>MIN(S29,Parâmetros!$B$8)*Parâmetros!$B$7</f>
        <v/>
      </c>
      <c r="X29" s="18">
        <f>IF(S29&lt;=Parâmetros!$B$33,0,MAX(0,(IF(MAX(0,S29-(MIN(S29,Parâmetros!$B$8)*Parâmetros!$B$7)-(IF(Parâmetros!$B$15=1,0,Parâmetros!$B$14)*Parâmetros!$B$10))&lt;=Parâmetros!$B$25,0,IF(MAX(0,S29-(MIN(S29,Parâmetros!$B$8)*Parâmetros!$B$7)-(IF(Parâmetros!$B$15=1,0,Parâmetros!$B$14)*Parâmetros!$B$10))&lt;=Parâmetros!$B$26,MAX(0,S29-(MIN(S29,Parâmetros!$B$8)*Parâmetros!$B$7)-(IF(Parâmetros!$B$15=1,0,Parâmetros!$B$14)*Parâmetros!$B$10))*0.075-Parâmetros!$B$29,IF(MAX(0,S29-(MIN(S29,Parâmetros!$B$8)*Parâmetros!$B$7)-(IF(Parâmetros!$B$15=1,0,Parâmetros!$B$14)*Parâmetros!$B$10))&lt;=Parâmetros!$B$27,MAX(0,S29-(MIN(S29,Parâmetros!$B$8)*Parâmetros!$B$7)-(IF(Parâmetros!$B$15=1,0,Parâmetros!$B$14)*Parâmetros!$B$10))*0.15-Parâmetros!$B$30,IF(MAX(0,S29-(MIN(S29,Parâmetros!$B$8)*Parâmetros!$B$7)-(IF(Parâmetros!$B$15=1,0,Parâmetros!$B$14)*Parâmetros!$B$10))&lt;=Parâmetros!$B$28,MAX(0,S29-(MIN(S29,Parâmetros!$B$8)*Parâmetros!$B$7)-(IF(Parâmetros!$B$15=1,0,Parâmetros!$B$14)*Parâmetros!$B$10))*0.225-Parâmetros!$B$31,MAX(0,S29-(MIN(S29,Parâmetros!$B$8)*Parâmetros!$B$7)-(IF(Parâmetros!$B$15=1,0,Parâmetros!$B$14)*Parâmetros!$B$10))*0.275-Parâmetros!$B$32)))))-IF(S29&lt;=Parâmetros!$B$34,Parâmetros!$B$35-Parâmetros!$B$36*S29,0)))</f>
        <v/>
      </c>
      <c r="Y29" s="18">
        <f>MAX(0,B29-V29-S29)</f>
        <v/>
      </c>
      <c r="Z29" s="13">
        <f>B29-V29-W29-X29</f>
        <v/>
      </c>
    </row>
    <row r="30">
      <c r="A30" s="35" t="n">
        <v>46419</v>
      </c>
      <c r="B30" s="18">
        <f>Notas!G31</f>
        <v/>
      </c>
      <c r="C30" s="19">
        <f>Parâmetros!$B$19</f>
        <v/>
      </c>
      <c r="D30" s="20">
        <f>IF(SUM(B19:B30)=0,0,SUM(C19:C30)/SUM(B19:B30))</f>
        <v/>
      </c>
      <c r="E30" s="21">
        <f>IF(D30&gt;=Parâmetros!$B$6,"III","V")</f>
        <v/>
      </c>
      <c r="F30" s="18">
        <f>IF(E30="III",B30*Parâmetros!$B$4,B30*Parâmetros!$B$5)</f>
        <v/>
      </c>
      <c r="G30" s="18">
        <f>MIN(C30,Parâmetros!$B$8)*Parâmetros!$B$7</f>
        <v/>
      </c>
      <c r="H30" s="18">
        <f>IF(C30&lt;=Parâmetros!$B$33,0,MAX(0,(IF(MAX(0,C30-(MIN(C30,Parâmetros!$B$8)*Parâmetros!$B$7)-(IF(Parâmetros!$B$15=1,0,Parâmetros!$B$14)*Parâmetros!$B$10))&lt;=Parâmetros!$B$25,0,IF(MAX(0,C30-(MIN(C30,Parâmetros!$B$8)*Parâmetros!$B$7)-(IF(Parâmetros!$B$15=1,0,Parâmetros!$B$14)*Parâmetros!$B$10))&lt;=Parâmetros!$B$26,MAX(0,C30-(MIN(C30,Parâmetros!$B$8)*Parâmetros!$B$7)-(IF(Parâmetros!$B$15=1,0,Parâmetros!$B$14)*Parâmetros!$B$10))*0.075-Parâmetros!$B$29,IF(MAX(0,C30-(MIN(C30,Parâmetros!$B$8)*Parâmetros!$B$7)-(IF(Parâmetros!$B$15=1,0,Parâmetros!$B$14)*Parâmetros!$B$10))&lt;=Parâmetros!$B$27,MAX(0,C30-(MIN(C30,Parâmetros!$B$8)*Parâmetros!$B$7)-(IF(Parâmetros!$B$15=1,0,Parâmetros!$B$14)*Parâmetros!$B$10))*0.15-Parâmetros!$B$30,IF(MAX(0,C30-(MIN(C30,Parâmetros!$B$8)*Parâmetros!$B$7)-(IF(Parâmetros!$B$15=1,0,Parâmetros!$B$14)*Parâmetros!$B$10))&lt;=Parâmetros!$B$28,MAX(0,C30-(MIN(C30,Parâmetros!$B$8)*Parâmetros!$B$7)-(IF(Parâmetros!$B$15=1,0,Parâmetros!$B$14)*Parâmetros!$B$10))*0.225-Parâmetros!$B$31,MAX(0,C30-(MIN(C30,Parâmetros!$B$8)*Parâmetros!$B$7)-(IF(Parâmetros!$B$15=1,0,Parâmetros!$B$14)*Parâmetros!$B$10))*0.275-Parâmetros!$B$32)))))-IF(C30&lt;=Parâmetros!$B$34,Parâmetros!$B$35-Parâmetros!$B$36*C30,0)))</f>
        <v/>
      </c>
      <c r="I30" s="18">
        <f>MAX(0,B30-F30-C30)</f>
        <v/>
      </c>
      <c r="J30" s="13">
        <f>B30-F30-G30-H30</f>
        <v/>
      </c>
      <c r="K30" s="22">
        <f>IF(A30&lt;Parâmetros!$B$23,Parâmetros!$B$19,MAX(Parâmetros!$B$22,Parâmetros!$B$6*SUM(B19:B30)-SUM(K19:K29)))</f>
        <v/>
      </c>
      <c r="L30" s="20">
        <f>IF(SUM(B19:B30)=0,0,SUM(K19:K30)/SUM(B19:B30))</f>
        <v/>
      </c>
      <c r="M30" s="21">
        <f>IF(L30&gt;=Parâmetros!$B$6,"III","V")</f>
        <v/>
      </c>
      <c r="N30" s="18">
        <f>IF(M30="III",B30*Parâmetros!$B$4,B30*Parâmetros!$B$5)</f>
        <v/>
      </c>
      <c r="O30" s="18">
        <f>MIN(K30,Parâmetros!$B$8)*Parâmetros!$B$7</f>
        <v/>
      </c>
      <c r="P30" s="18">
        <f>IF(K30&lt;=Parâmetros!$B$33,0,MAX(0,(IF(MAX(0,K30-(MIN(K30,Parâmetros!$B$8)*Parâmetros!$B$7)-(IF(Parâmetros!$B$15=1,0,Parâmetros!$B$14)*Parâmetros!$B$10))&lt;=Parâmetros!$B$25,0,IF(MAX(0,K30-(MIN(K30,Parâmetros!$B$8)*Parâmetros!$B$7)-(IF(Parâmetros!$B$15=1,0,Parâmetros!$B$14)*Parâmetros!$B$10))&lt;=Parâmetros!$B$26,MAX(0,K30-(MIN(K30,Parâmetros!$B$8)*Parâmetros!$B$7)-(IF(Parâmetros!$B$15=1,0,Parâmetros!$B$14)*Parâmetros!$B$10))*0.075-Parâmetros!$B$29,IF(MAX(0,K30-(MIN(K30,Parâmetros!$B$8)*Parâmetros!$B$7)-(IF(Parâmetros!$B$15=1,0,Parâmetros!$B$14)*Parâmetros!$B$10))&lt;=Parâmetros!$B$27,MAX(0,K30-(MIN(K30,Parâmetros!$B$8)*Parâmetros!$B$7)-(IF(Parâmetros!$B$15=1,0,Parâmetros!$B$14)*Parâmetros!$B$10))*0.15-Parâmetros!$B$30,IF(MAX(0,K30-(MIN(K30,Parâmetros!$B$8)*Parâmetros!$B$7)-(IF(Parâmetros!$B$15=1,0,Parâmetros!$B$14)*Parâmetros!$B$10))&lt;=Parâmetros!$B$28,MAX(0,K30-(MIN(K30,Parâmetros!$B$8)*Parâmetros!$B$7)-(IF(Parâmetros!$B$15=1,0,Parâmetros!$B$14)*Parâmetros!$B$10))*0.225-Parâmetros!$B$31,MAX(0,K30-(MIN(K30,Parâmetros!$B$8)*Parâmetros!$B$7)-(IF(Parâmetros!$B$15=1,0,Parâmetros!$B$14)*Parâmetros!$B$10))*0.275-Parâmetros!$B$32)))))-IF(K30&lt;=Parâmetros!$B$34,Parâmetros!$B$35-Parâmetros!$B$36*K30,0)))</f>
        <v/>
      </c>
      <c r="Q30" s="18">
        <f>MAX(0,B30-N30-K30)</f>
        <v/>
      </c>
      <c r="R30" s="13">
        <f>B30-N30-O30-P30</f>
        <v/>
      </c>
      <c r="S30" s="23">
        <f>Parâmetros!$B$21</f>
        <v/>
      </c>
      <c r="T30" s="20">
        <f>IF(SUM(B19:B30)=0,0,SUM(S19:S30)/SUM(B19:B30))</f>
        <v/>
      </c>
      <c r="U30" s="21">
        <f>IF(T30&gt;=Parâmetros!$B$6,"III","V")</f>
        <v/>
      </c>
      <c r="V30" s="18">
        <f>IF(U30="III",B30*Parâmetros!$B$4,B30*Parâmetros!$B$5)</f>
        <v/>
      </c>
      <c r="W30" s="18">
        <f>MIN(S30,Parâmetros!$B$8)*Parâmetros!$B$7</f>
        <v/>
      </c>
      <c r="X30" s="18">
        <f>IF(S30&lt;=Parâmetros!$B$33,0,MAX(0,(IF(MAX(0,S30-(MIN(S30,Parâmetros!$B$8)*Parâmetros!$B$7)-(IF(Parâmetros!$B$15=1,0,Parâmetros!$B$14)*Parâmetros!$B$10))&lt;=Parâmetros!$B$25,0,IF(MAX(0,S30-(MIN(S30,Parâmetros!$B$8)*Parâmetros!$B$7)-(IF(Parâmetros!$B$15=1,0,Parâmetros!$B$14)*Parâmetros!$B$10))&lt;=Parâmetros!$B$26,MAX(0,S30-(MIN(S30,Parâmetros!$B$8)*Parâmetros!$B$7)-(IF(Parâmetros!$B$15=1,0,Parâmetros!$B$14)*Parâmetros!$B$10))*0.075-Parâmetros!$B$29,IF(MAX(0,S30-(MIN(S30,Parâmetros!$B$8)*Parâmetros!$B$7)-(IF(Parâmetros!$B$15=1,0,Parâmetros!$B$14)*Parâmetros!$B$10))&lt;=Parâmetros!$B$27,MAX(0,S30-(MIN(S30,Parâmetros!$B$8)*Parâmetros!$B$7)-(IF(Parâmetros!$B$15=1,0,Parâmetros!$B$14)*Parâmetros!$B$10))*0.15-Parâmetros!$B$30,IF(MAX(0,S30-(MIN(S30,Parâmetros!$B$8)*Parâmetros!$B$7)-(IF(Parâmetros!$B$15=1,0,Parâmetros!$B$14)*Parâmetros!$B$10))&lt;=Parâmetros!$B$28,MAX(0,S30-(MIN(S30,Parâmetros!$B$8)*Parâmetros!$B$7)-(IF(Parâmetros!$B$15=1,0,Parâmetros!$B$14)*Parâmetros!$B$10))*0.225-Parâmetros!$B$31,MAX(0,S30-(MIN(S30,Parâmetros!$B$8)*Parâmetros!$B$7)-(IF(Parâmetros!$B$15=1,0,Parâmetros!$B$14)*Parâmetros!$B$10))*0.275-Parâmetros!$B$32)))))-IF(S30&lt;=Parâmetros!$B$34,Parâmetros!$B$35-Parâmetros!$B$36*S30,0)))</f>
        <v/>
      </c>
      <c r="Y30" s="18">
        <f>MAX(0,B30-V30-S30)</f>
        <v/>
      </c>
      <c r="Z30" s="13">
        <f>B30-V30-W30-X30</f>
        <v/>
      </c>
    </row>
    <row r="31">
      <c r="A31" s="35" t="n">
        <v>46447</v>
      </c>
      <c r="B31" s="18">
        <f>Notas!G32</f>
        <v/>
      </c>
      <c r="C31" s="19">
        <f>Parâmetros!$B$19</f>
        <v/>
      </c>
      <c r="D31" s="20">
        <f>IF(SUM(B20:B31)=0,0,SUM(C20:C31)/SUM(B20:B31))</f>
        <v/>
      </c>
      <c r="E31" s="21">
        <f>IF(D31&gt;=Parâmetros!$B$6,"III","V")</f>
        <v/>
      </c>
      <c r="F31" s="18">
        <f>IF(E31="III",B31*Parâmetros!$B$4,B31*Parâmetros!$B$5)</f>
        <v/>
      </c>
      <c r="G31" s="18">
        <f>MIN(C31,Parâmetros!$B$8)*Parâmetros!$B$7</f>
        <v/>
      </c>
      <c r="H31" s="18">
        <f>IF(C31&lt;=Parâmetros!$B$33,0,MAX(0,(IF(MAX(0,C31-(MIN(C31,Parâmetros!$B$8)*Parâmetros!$B$7)-(IF(Parâmetros!$B$15=1,0,Parâmetros!$B$14)*Parâmetros!$B$10))&lt;=Parâmetros!$B$25,0,IF(MAX(0,C31-(MIN(C31,Parâmetros!$B$8)*Parâmetros!$B$7)-(IF(Parâmetros!$B$15=1,0,Parâmetros!$B$14)*Parâmetros!$B$10))&lt;=Parâmetros!$B$26,MAX(0,C31-(MIN(C31,Parâmetros!$B$8)*Parâmetros!$B$7)-(IF(Parâmetros!$B$15=1,0,Parâmetros!$B$14)*Parâmetros!$B$10))*0.075-Parâmetros!$B$29,IF(MAX(0,C31-(MIN(C31,Parâmetros!$B$8)*Parâmetros!$B$7)-(IF(Parâmetros!$B$15=1,0,Parâmetros!$B$14)*Parâmetros!$B$10))&lt;=Parâmetros!$B$27,MAX(0,C31-(MIN(C31,Parâmetros!$B$8)*Parâmetros!$B$7)-(IF(Parâmetros!$B$15=1,0,Parâmetros!$B$14)*Parâmetros!$B$10))*0.15-Parâmetros!$B$30,IF(MAX(0,C31-(MIN(C31,Parâmetros!$B$8)*Parâmetros!$B$7)-(IF(Parâmetros!$B$15=1,0,Parâmetros!$B$14)*Parâmetros!$B$10))&lt;=Parâmetros!$B$28,MAX(0,C31-(MIN(C31,Parâmetros!$B$8)*Parâmetros!$B$7)-(IF(Parâmetros!$B$15=1,0,Parâmetros!$B$14)*Parâmetros!$B$10))*0.225-Parâmetros!$B$31,MAX(0,C31-(MIN(C31,Parâmetros!$B$8)*Parâmetros!$B$7)-(IF(Parâmetros!$B$15=1,0,Parâmetros!$B$14)*Parâmetros!$B$10))*0.275-Parâmetros!$B$32)))))-IF(C31&lt;=Parâmetros!$B$34,Parâmetros!$B$35-Parâmetros!$B$36*C31,0)))</f>
        <v/>
      </c>
      <c r="I31" s="18">
        <f>MAX(0,B31-F31-C31)</f>
        <v/>
      </c>
      <c r="J31" s="13">
        <f>B31-F31-G31-H31</f>
        <v/>
      </c>
      <c r="K31" s="22">
        <f>IF(A31&lt;Parâmetros!$B$23,Parâmetros!$B$19,MAX(Parâmetros!$B$22,Parâmetros!$B$6*SUM(B20:B31)-SUM(K20:K30)))</f>
        <v/>
      </c>
      <c r="L31" s="20">
        <f>IF(SUM(B20:B31)=0,0,SUM(K20:K31)/SUM(B20:B31))</f>
        <v/>
      </c>
      <c r="M31" s="21">
        <f>IF(L31&gt;=Parâmetros!$B$6,"III","V")</f>
        <v/>
      </c>
      <c r="N31" s="18">
        <f>IF(M31="III",B31*Parâmetros!$B$4,B31*Parâmetros!$B$5)</f>
        <v/>
      </c>
      <c r="O31" s="18">
        <f>MIN(K31,Parâmetros!$B$8)*Parâmetros!$B$7</f>
        <v/>
      </c>
      <c r="P31" s="18">
        <f>IF(K31&lt;=Parâmetros!$B$33,0,MAX(0,(IF(MAX(0,K31-(MIN(K31,Parâmetros!$B$8)*Parâmetros!$B$7)-(IF(Parâmetros!$B$15=1,0,Parâmetros!$B$14)*Parâmetros!$B$10))&lt;=Parâmetros!$B$25,0,IF(MAX(0,K31-(MIN(K31,Parâmetros!$B$8)*Parâmetros!$B$7)-(IF(Parâmetros!$B$15=1,0,Parâmetros!$B$14)*Parâmetros!$B$10))&lt;=Parâmetros!$B$26,MAX(0,K31-(MIN(K31,Parâmetros!$B$8)*Parâmetros!$B$7)-(IF(Parâmetros!$B$15=1,0,Parâmetros!$B$14)*Parâmetros!$B$10))*0.075-Parâmetros!$B$29,IF(MAX(0,K31-(MIN(K31,Parâmetros!$B$8)*Parâmetros!$B$7)-(IF(Parâmetros!$B$15=1,0,Parâmetros!$B$14)*Parâmetros!$B$10))&lt;=Parâmetros!$B$27,MAX(0,K31-(MIN(K31,Parâmetros!$B$8)*Parâmetros!$B$7)-(IF(Parâmetros!$B$15=1,0,Parâmetros!$B$14)*Parâmetros!$B$10))*0.15-Parâmetros!$B$30,IF(MAX(0,K31-(MIN(K31,Parâmetros!$B$8)*Parâmetros!$B$7)-(IF(Parâmetros!$B$15=1,0,Parâmetros!$B$14)*Parâmetros!$B$10))&lt;=Parâmetros!$B$28,MAX(0,K31-(MIN(K31,Parâmetros!$B$8)*Parâmetros!$B$7)-(IF(Parâmetros!$B$15=1,0,Parâmetros!$B$14)*Parâmetros!$B$10))*0.225-Parâmetros!$B$31,MAX(0,K31-(MIN(K31,Parâmetros!$B$8)*Parâmetros!$B$7)-(IF(Parâmetros!$B$15=1,0,Parâmetros!$B$14)*Parâmetros!$B$10))*0.275-Parâmetros!$B$32)))))-IF(K31&lt;=Parâmetros!$B$34,Parâmetros!$B$35-Parâmetros!$B$36*K31,0)))</f>
        <v/>
      </c>
      <c r="Q31" s="18">
        <f>MAX(0,B31-N31-K31)</f>
        <v/>
      </c>
      <c r="R31" s="13">
        <f>B31-N31-O31-P31</f>
        <v/>
      </c>
      <c r="S31" s="23">
        <f>Parâmetros!$B$21</f>
        <v/>
      </c>
      <c r="T31" s="20">
        <f>IF(SUM(B20:B31)=0,0,SUM(S20:S31)/SUM(B20:B31))</f>
        <v/>
      </c>
      <c r="U31" s="21">
        <f>IF(T31&gt;=Parâmetros!$B$6,"III","V")</f>
        <v/>
      </c>
      <c r="V31" s="18">
        <f>IF(U31="III",B31*Parâmetros!$B$4,B31*Parâmetros!$B$5)</f>
        <v/>
      </c>
      <c r="W31" s="18">
        <f>MIN(S31,Parâmetros!$B$8)*Parâmetros!$B$7</f>
        <v/>
      </c>
      <c r="X31" s="18">
        <f>IF(S31&lt;=Parâmetros!$B$33,0,MAX(0,(IF(MAX(0,S31-(MIN(S31,Parâmetros!$B$8)*Parâmetros!$B$7)-(IF(Parâmetros!$B$15=1,0,Parâmetros!$B$14)*Parâmetros!$B$10))&lt;=Parâmetros!$B$25,0,IF(MAX(0,S31-(MIN(S31,Parâmetros!$B$8)*Parâmetros!$B$7)-(IF(Parâmetros!$B$15=1,0,Parâmetros!$B$14)*Parâmetros!$B$10))&lt;=Parâmetros!$B$26,MAX(0,S31-(MIN(S31,Parâmetros!$B$8)*Parâmetros!$B$7)-(IF(Parâmetros!$B$15=1,0,Parâmetros!$B$14)*Parâmetros!$B$10))*0.075-Parâmetros!$B$29,IF(MAX(0,S31-(MIN(S31,Parâmetros!$B$8)*Parâmetros!$B$7)-(IF(Parâmetros!$B$15=1,0,Parâmetros!$B$14)*Parâmetros!$B$10))&lt;=Parâmetros!$B$27,MAX(0,S31-(MIN(S31,Parâmetros!$B$8)*Parâmetros!$B$7)-(IF(Parâmetros!$B$15=1,0,Parâmetros!$B$14)*Parâmetros!$B$10))*0.15-Parâmetros!$B$30,IF(MAX(0,S31-(MIN(S31,Parâmetros!$B$8)*Parâmetros!$B$7)-(IF(Parâmetros!$B$15=1,0,Parâmetros!$B$14)*Parâmetros!$B$10))&lt;=Parâmetros!$B$28,MAX(0,S31-(MIN(S31,Parâmetros!$B$8)*Parâmetros!$B$7)-(IF(Parâmetros!$B$15=1,0,Parâmetros!$B$14)*Parâmetros!$B$10))*0.225-Parâmetros!$B$31,MAX(0,S31-(MIN(S31,Parâmetros!$B$8)*Parâmetros!$B$7)-(IF(Parâmetros!$B$15=1,0,Parâmetros!$B$14)*Parâmetros!$B$10))*0.275-Parâmetros!$B$32)))))-IF(S31&lt;=Parâmetros!$B$34,Parâmetros!$B$35-Parâmetros!$B$36*S31,0)))</f>
        <v/>
      </c>
      <c r="Y31" s="18">
        <f>MAX(0,B31-V31-S31)</f>
        <v/>
      </c>
      <c r="Z31" s="13">
        <f>B31-V31-W31-X31</f>
        <v/>
      </c>
    </row>
    <row r="32">
      <c r="A32" s="35" t="n">
        <v>46478</v>
      </c>
      <c r="B32" s="18">
        <f>Notas!G33</f>
        <v/>
      </c>
      <c r="C32" s="19">
        <f>Parâmetros!$B$19</f>
        <v/>
      </c>
      <c r="D32" s="20">
        <f>IF(SUM(B21:B32)=0,0,SUM(C21:C32)/SUM(B21:B32))</f>
        <v/>
      </c>
      <c r="E32" s="21">
        <f>IF(D32&gt;=Parâmetros!$B$6,"III","V")</f>
        <v/>
      </c>
      <c r="F32" s="18">
        <f>IF(E32="III",B32*Parâmetros!$B$4,B32*Parâmetros!$B$5)</f>
        <v/>
      </c>
      <c r="G32" s="18">
        <f>MIN(C32,Parâmetros!$B$8)*Parâmetros!$B$7</f>
        <v/>
      </c>
      <c r="H32" s="18">
        <f>IF(C32&lt;=Parâmetros!$B$33,0,MAX(0,(IF(MAX(0,C32-(MIN(C32,Parâmetros!$B$8)*Parâmetros!$B$7)-(IF(Parâmetros!$B$15=1,0,Parâmetros!$B$14)*Parâmetros!$B$10))&lt;=Parâmetros!$B$25,0,IF(MAX(0,C32-(MIN(C32,Parâmetros!$B$8)*Parâmetros!$B$7)-(IF(Parâmetros!$B$15=1,0,Parâmetros!$B$14)*Parâmetros!$B$10))&lt;=Parâmetros!$B$26,MAX(0,C32-(MIN(C32,Parâmetros!$B$8)*Parâmetros!$B$7)-(IF(Parâmetros!$B$15=1,0,Parâmetros!$B$14)*Parâmetros!$B$10))*0.075-Parâmetros!$B$29,IF(MAX(0,C32-(MIN(C32,Parâmetros!$B$8)*Parâmetros!$B$7)-(IF(Parâmetros!$B$15=1,0,Parâmetros!$B$14)*Parâmetros!$B$10))&lt;=Parâmetros!$B$27,MAX(0,C32-(MIN(C32,Parâmetros!$B$8)*Parâmetros!$B$7)-(IF(Parâmetros!$B$15=1,0,Parâmetros!$B$14)*Parâmetros!$B$10))*0.15-Parâmetros!$B$30,IF(MAX(0,C32-(MIN(C32,Parâmetros!$B$8)*Parâmetros!$B$7)-(IF(Parâmetros!$B$15=1,0,Parâmetros!$B$14)*Parâmetros!$B$10))&lt;=Parâmetros!$B$28,MAX(0,C32-(MIN(C32,Parâmetros!$B$8)*Parâmetros!$B$7)-(IF(Parâmetros!$B$15=1,0,Parâmetros!$B$14)*Parâmetros!$B$10))*0.225-Parâmetros!$B$31,MAX(0,C32-(MIN(C32,Parâmetros!$B$8)*Parâmetros!$B$7)-(IF(Parâmetros!$B$15=1,0,Parâmetros!$B$14)*Parâmetros!$B$10))*0.275-Parâmetros!$B$32)))))-IF(C32&lt;=Parâmetros!$B$34,Parâmetros!$B$35-Parâmetros!$B$36*C32,0)))</f>
        <v/>
      </c>
      <c r="I32" s="18">
        <f>MAX(0,B32-F32-C32)</f>
        <v/>
      </c>
      <c r="J32" s="13">
        <f>B32-F32-G32-H32</f>
        <v/>
      </c>
      <c r="K32" s="22">
        <f>IF(A32&lt;Parâmetros!$B$23,Parâmetros!$B$19,MAX(Parâmetros!$B$22,Parâmetros!$B$6*SUM(B21:B32)-SUM(K21:K31)))</f>
        <v/>
      </c>
      <c r="L32" s="20">
        <f>IF(SUM(B21:B32)=0,0,SUM(K21:K32)/SUM(B21:B32))</f>
        <v/>
      </c>
      <c r="M32" s="21">
        <f>IF(L32&gt;=Parâmetros!$B$6,"III","V")</f>
        <v/>
      </c>
      <c r="N32" s="18">
        <f>IF(M32="III",B32*Parâmetros!$B$4,B32*Parâmetros!$B$5)</f>
        <v/>
      </c>
      <c r="O32" s="18">
        <f>MIN(K32,Parâmetros!$B$8)*Parâmetros!$B$7</f>
        <v/>
      </c>
      <c r="P32" s="18">
        <f>IF(K32&lt;=Parâmetros!$B$33,0,MAX(0,(IF(MAX(0,K32-(MIN(K32,Parâmetros!$B$8)*Parâmetros!$B$7)-(IF(Parâmetros!$B$15=1,0,Parâmetros!$B$14)*Parâmetros!$B$10))&lt;=Parâmetros!$B$25,0,IF(MAX(0,K32-(MIN(K32,Parâmetros!$B$8)*Parâmetros!$B$7)-(IF(Parâmetros!$B$15=1,0,Parâmetros!$B$14)*Parâmetros!$B$10))&lt;=Parâmetros!$B$26,MAX(0,K32-(MIN(K32,Parâmetros!$B$8)*Parâmetros!$B$7)-(IF(Parâmetros!$B$15=1,0,Parâmetros!$B$14)*Parâmetros!$B$10))*0.075-Parâmetros!$B$29,IF(MAX(0,K32-(MIN(K32,Parâmetros!$B$8)*Parâmetros!$B$7)-(IF(Parâmetros!$B$15=1,0,Parâmetros!$B$14)*Parâmetros!$B$10))&lt;=Parâmetros!$B$27,MAX(0,K32-(MIN(K32,Parâmetros!$B$8)*Parâmetros!$B$7)-(IF(Parâmetros!$B$15=1,0,Parâmetros!$B$14)*Parâmetros!$B$10))*0.15-Parâmetros!$B$30,IF(MAX(0,K32-(MIN(K32,Parâmetros!$B$8)*Parâmetros!$B$7)-(IF(Parâmetros!$B$15=1,0,Parâmetros!$B$14)*Parâmetros!$B$10))&lt;=Parâmetros!$B$28,MAX(0,K32-(MIN(K32,Parâmetros!$B$8)*Parâmetros!$B$7)-(IF(Parâmetros!$B$15=1,0,Parâmetros!$B$14)*Parâmetros!$B$10))*0.225-Parâmetros!$B$31,MAX(0,K32-(MIN(K32,Parâmetros!$B$8)*Parâmetros!$B$7)-(IF(Parâmetros!$B$15=1,0,Parâmetros!$B$14)*Parâmetros!$B$10))*0.275-Parâmetros!$B$32)))))-IF(K32&lt;=Parâmetros!$B$34,Parâmetros!$B$35-Parâmetros!$B$36*K32,0)))</f>
        <v/>
      </c>
      <c r="Q32" s="18">
        <f>MAX(0,B32-N32-K32)</f>
        <v/>
      </c>
      <c r="R32" s="13">
        <f>B32-N32-O32-P32</f>
        <v/>
      </c>
      <c r="S32" s="23">
        <f>Parâmetros!$B$21</f>
        <v/>
      </c>
      <c r="T32" s="20">
        <f>IF(SUM(B21:B32)=0,0,SUM(S21:S32)/SUM(B21:B32))</f>
        <v/>
      </c>
      <c r="U32" s="21">
        <f>IF(T32&gt;=Parâmetros!$B$6,"III","V")</f>
        <v/>
      </c>
      <c r="V32" s="18">
        <f>IF(U32="III",B32*Parâmetros!$B$4,B32*Parâmetros!$B$5)</f>
        <v/>
      </c>
      <c r="W32" s="18">
        <f>MIN(S32,Parâmetros!$B$8)*Parâmetros!$B$7</f>
        <v/>
      </c>
      <c r="X32" s="18">
        <f>IF(S32&lt;=Parâmetros!$B$33,0,MAX(0,(IF(MAX(0,S32-(MIN(S32,Parâmetros!$B$8)*Parâmetros!$B$7)-(IF(Parâmetros!$B$15=1,0,Parâmetros!$B$14)*Parâmetros!$B$10))&lt;=Parâmetros!$B$25,0,IF(MAX(0,S32-(MIN(S32,Parâmetros!$B$8)*Parâmetros!$B$7)-(IF(Parâmetros!$B$15=1,0,Parâmetros!$B$14)*Parâmetros!$B$10))&lt;=Parâmetros!$B$26,MAX(0,S32-(MIN(S32,Parâmetros!$B$8)*Parâmetros!$B$7)-(IF(Parâmetros!$B$15=1,0,Parâmetros!$B$14)*Parâmetros!$B$10))*0.075-Parâmetros!$B$29,IF(MAX(0,S32-(MIN(S32,Parâmetros!$B$8)*Parâmetros!$B$7)-(IF(Parâmetros!$B$15=1,0,Parâmetros!$B$14)*Parâmetros!$B$10))&lt;=Parâmetros!$B$27,MAX(0,S32-(MIN(S32,Parâmetros!$B$8)*Parâmetros!$B$7)-(IF(Parâmetros!$B$15=1,0,Parâmetros!$B$14)*Parâmetros!$B$10))*0.15-Parâmetros!$B$30,IF(MAX(0,S32-(MIN(S32,Parâmetros!$B$8)*Parâmetros!$B$7)-(IF(Parâmetros!$B$15=1,0,Parâmetros!$B$14)*Parâmetros!$B$10))&lt;=Parâmetros!$B$28,MAX(0,S32-(MIN(S32,Parâmetros!$B$8)*Parâmetros!$B$7)-(IF(Parâmetros!$B$15=1,0,Parâmetros!$B$14)*Parâmetros!$B$10))*0.225-Parâmetros!$B$31,MAX(0,S32-(MIN(S32,Parâmetros!$B$8)*Parâmetros!$B$7)-(IF(Parâmetros!$B$15=1,0,Parâmetros!$B$14)*Parâmetros!$B$10))*0.275-Parâmetros!$B$32)))))-IF(S32&lt;=Parâmetros!$B$34,Parâmetros!$B$35-Parâmetros!$B$36*S32,0)))</f>
        <v/>
      </c>
      <c r="Y32" s="18">
        <f>MAX(0,B32-V32-S32)</f>
        <v/>
      </c>
      <c r="Z32" s="13">
        <f>B32-V32-W32-X32</f>
        <v/>
      </c>
    </row>
    <row r="33">
      <c r="A33" s="35" t="n">
        <v>46508</v>
      </c>
      <c r="B33" s="18">
        <f>Notas!G34</f>
        <v/>
      </c>
      <c r="C33" s="19">
        <f>Parâmetros!$B$19</f>
        <v/>
      </c>
      <c r="D33" s="20">
        <f>IF(SUM(B22:B33)=0,0,SUM(C22:C33)/SUM(B22:B33))</f>
        <v/>
      </c>
      <c r="E33" s="21">
        <f>IF(D33&gt;=Parâmetros!$B$6,"III","V")</f>
        <v/>
      </c>
      <c r="F33" s="18">
        <f>IF(E33="III",B33*Parâmetros!$B$4,B33*Parâmetros!$B$5)</f>
        <v/>
      </c>
      <c r="G33" s="18">
        <f>MIN(C33,Parâmetros!$B$8)*Parâmetros!$B$7</f>
        <v/>
      </c>
      <c r="H33" s="18">
        <f>IF(C33&lt;=Parâmetros!$B$33,0,MAX(0,(IF(MAX(0,C33-(MIN(C33,Parâmetros!$B$8)*Parâmetros!$B$7)-(IF(Parâmetros!$B$15=1,0,Parâmetros!$B$14)*Parâmetros!$B$10))&lt;=Parâmetros!$B$25,0,IF(MAX(0,C33-(MIN(C33,Parâmetros!$B$8)*Parâmetros!$B$7)-(IF(Parâmetros!$B$15=1,0,Parâmetros!$B$14)*Parâmetros!$B$10))&lt;=Parâmetros!$B$26,MAX(0,C33-(MIN(C33,Parâmetros!$B$8)*Parâmetros!$B$7)-(IF(Parâmetros!$B$15=1,0,Parâmetros!$B$14)*Parâmetros!$B$10))*0.075-Parâmetros!$B$29,IF(MAX(0,C33-(MIN(C33,Parâmetros!$B$8)*Parâmetros!$B$7)-(IF(Parâmetros!$B$15=1,0,Parâmetros!$B$14)*Parâmetros!$B$10))&lt;=Parâmetros!$B$27,MAX(0,C33-(MIN(C33,Parâmetros!$B$8)*Parâmetros!$B$7)-(IF(Parâmetros!$B$15=1,0,Parâmetros!$B$14)*Parâmetros!$B$10))*0.15-Parâmetros!$B$30,IF(MAX(0,C33-(MIN(C33,Parâmetros!$B$8)*Parâmetros!$B$7)-(IF(Parâmetros!$B$15=1,0,Parâmetros!$B$14)*Parâmetros!$B$10))&lt;=Parâmetros!$B$28,MAX(0,C33-(MIN(C33,Parâmetros!$B$8)*Parâmetros!$B$7)-(IF(Parâmetros!$B$15=1,0,Parâmetros!$B$14)*Parâmetros!$B$10))*0.225-Parâmetros!$B$31,MAX(0,C33-(MIN(C33,Parâmetros!$B$8)*Parâmetros!$B$7)-(IF(Parâmetros!$B$15=1,0,Parâmetros!$B$14)*Parâmetros!$B$10))*0.275-Parâmetros!$B$32)))))-IF(C33&lt;=Parâmetros!$B$34,Parâmetros!$B$35-Parâmetros!$B$36*C33,0)))</f>
        <v/>
      </c>
      <c r="I33" s="18">
        <f>MAX(0,B33-F33-C33)</f>
        <v/>
      </c>
      <c r="J33" s="13">
        <f>B33-F33-G33-H33</f>
        <v/>
      </c>
      <c r="K33" s="22">
        <f>IF(A33&lt;Parâmetros!$B$23,Parâmetros!$B$19,MAX(Parâmetros!$B$22,Parâmetros!$B$6*SUM(B22:B33)-SUM(K22:K32)))</f>
        <v/>
      </c>
      <c r="L33" s="20">
        <f>IF(SUM(B22:B33)=0,0,SUM(K22:K33)/SUM(B22:B33))</f>
        <v/>
      </c>
      <c r="M33" s="21">
        <f>IF(L33&gt;=Parâmetros!$B$6,"III","V")</f>
        <v/>
      </c>
      <c r="N33" s="18">
        <f>IF(M33="III",B33*Parâmetros!$B$4,B33*Parâmetros!$B$5)</f>
        <v/>
      </c>
      <c r="O33" s="18">
        <f>MIN(K33,Parâmetros!$B$8)*Parâmetros!$B$7</f>
        <v/>
      </c>
      <c r="P33" s="18">
        <f>IF(K33&lt;=Parâmetros!$B$33,0,MAX(0,(IF(MAX(0,K33-(MIN(K33,Parâmetros!$B$8)*Parâmetros!$B$7)-(IF(Parâmetros!$B$15=1,0,Parâmetros!$B$14)*Parâmetros!$B$10))&lt;=Parâmetros!$B$25,0,IF(MAX(0,K33-(MIN(K33,Parâmetros!$B$8)*Parâmetros!$B$7)-(IF(Parâmetros!$B$15=1,0,Parâmetros!$B$14)*Parâmetros!$B$10))&lt;=Parâmetros!$B$26,MAX(0,K33-(MIN(K33,Parâmetros!$B$8)*Parâmetros!$B$7)-(IF(Parâmetros!$B$15=1,0,Parâmetros!$B$14)*Parâmetros!$B$10))*0.075-Parâmetros!$B$29,IF(MAX(0,K33-(MIN(K33,Parâmetros!$B$8)*Parâmetros!$B$7)-(IF(Parâmetros!$B$15=1,0,Parâmetros!$B$14)*Parâmetros!$B$10))&lt;=Parâmetros!$B$27,MAX(0,K33-(MIN(K33,Parâmetros!$B$8)*Parâmetros!$B$7)-(IF(Parâmetros!$B$15=1,0,Parâmetros!$B$14)*Parâmetros!$B$10))*0.15-Parâmetros!$B$30,IF(MAX(0,K33-(MIN(K33,Parâmetros!$B$8)*Parâmetros!$B$7)-(IF(Parâmetros!$B$15=1,0,Parâmetros!$B$14)*Parâmetros!$B$10))&lt;=Parâmetros!$B$28,MAX(0,K33-(MIN(K33,Parâmetros!$B$8)*Parâmetros!$B$7)-(IF(Parâmetros!$B$15=1,0,Parâmetros!$B$14)*Parâmetros!$B$10))*0.225-Parâmetros!$B$31,MAX(0,K33-(MIN(K33,Parâmetros!$B$8)*Parâmetros!$B$7)-(IF(Parâmetros!$B$15=1,0,Parâmetros!$B$14)*Parâmetros!$B$10))*0.275-Parâmetros!$B$32)))))-IF(K33&lt;=Parâmetros!$B$34,Parâmetros!$B$35-Parâmetros!$B$36*K33,0)))</f>
        <v/>
      </c>
      <c r="Q33" s="18">
        <f>MAX(0,B33-N33-K33)</f>
        <v/>
      </c>
      <c r="R33" s="13">
        <f>B33-N33-O33-P33</f>
        <v/>
      </c>
      <c r="S33" s="23">
        <f>Parâmetros!$B$21</f>
        <v/>
      </c>
      <c r="T33" s="20">
        <f>IF(SUM(B22:B33)=0,0,SUM(S22:S33)/SUM(B22:B33))</f>
        <v/>
      </c>
      <c r="U33" s="21">
        <f>IF(T33&gt;=Parâmetros!$B$6,"III","V")</f>
        <v/>
      </c>
      <c r="V33" s="18">
        <f>IF(U33="III",B33*Parâmetros!$B$4,B33*Parâmetros!$B$5)</f>
        <v/>
      </c>
      <c r="W33" s="18">
        <f>MIN(S33,Parâmetros!$B$8)*Parâmetros!$B$7</f>
        <v/>
      </c>
      <c r="X33" s="18">
        <f>IF(S33&lt;=Parâmetros!$B$33,0,MAX(0,(IF(MAX(0,S33-(MIN(S33,Parâmetros!$B$8)*Parâmetros!$B$7)-(IF(Parâmetros!$B$15=1,0,Parâmetros!$B$14)*Parâmetros!$B$10))&lt;=Parâmetros!$B$25,0,IF(MAX(0,S33-(MIN(S33,Parâmetros!$B$8)*Parâmetros!$B$7)-(IF(Parâmetros!$B$15=1,0,Parâmetros!$B$14)*Parâmetros!$B$10))&lt;=Parâmetros!$B$26,MAX(0,S33-(MIN(S33,Parâmetros!$B$8)*Parâmetros!$B$7)-(IF(Parâmetros!$B$15=1,0,Parâmetros!$B$14)*Parâmetros!$B$10))*0.075-Parâmetros!$B$29,IF(MAX(0,S33-(MIN(S33,Parâmetros!$B$8)*Parâmetros!$B$7)-(IF(Parâmetros!$B$15=1,0,Parâmetros!$B$14)*Parâmetros!$B$10))&lt;=Parâmetros!$B$27,MAX(0,S33-(MIN(S33,Parâmetros!$B$8)*Parâmetros!$B$7)-(IF(Parâmetros!$B$15=1,0,Parâmetros!$B$14)*Parâmetros!$B$10))*0.15-Parâmetros!$B$30,IF(MAX(0,S33-(MIN(S33,Parâmetros!$B$8)*Parâmetros!$B$7)-(IF(Parâmetros!$B$15=1,0,Parâmetros!$B$14)*Parâmetros!$B$10))&lt;=Parâmetros!$B$28,MAX(0,S33-(MIN(S33,Parâmetros!$B$8)*Parâmetros!$B$7)-(IF(Parâmetros!$B$15=1,0,Parâmetros!$B$14)*Parâmetros!$B$10))*0.225-Parâmetros!$B$31,MAX(0,S33-(MIN(S33,Parâmetros!$B$8)*Parâmetros!$B$7)-(IF(Parâmetros!$B$15=1,0,Parâmetros!$B$14)*Parâmetros!$B$10))*0.275-Parâmetros!$B$32)))))-IF(S33&lt;=Parâmetros!$B$34,Parâmetros!$B$35-Parâmetros!$B$36*S33,0)))</f>
        <v/>
      </c>
      <c r="Y33" s="18">
        <f>MAX(0,B33-V33-S33)</f>
        <v/>
      </c>
      <c r="Z33" s="13">
        <f>B33-V33-W33-X33</f>
        <v/>
      </c>
    </row>
    <row r="34">
      <c r="A34" s="35" t="n">
        <v>46539</v>
      </c>
      <c r="B34" s="18">
        <f>Notas!G35</f>
        <v/>
      </c>
      <c r="C34" s="19">
        <f>Parâmetros!$B$19</f>
        <v/>
      </c>
      <c r="D34" s="20">
        <f>IF(SUM(B23:B34)=0,0,SUM(C23:C34)/SUM(B23:B34))</f>
        <v/>
      </c>
      <c r="E34" s="21">
        <f>IF(D34&gt;=Parâmetros!$B$6,"III","V")</f>
        <v/>
      </c>
      <c r="F34" s="18">
        <f>IF(E34="III",B34*Parâmetros!$B$4,B34*Parâmetros!$B$5)</f>
        <v/>
      </c>
      <c r="G34" s="18">
        <f>MIN(C34,Parâmetros!$B$8)*Parâmetros!$B$7</f>
        <v/>
      </c>
      <c r="H34" s="18">
        <f>IF(C34&lt;=Parâmetros!$B$33,0,MAX(0,(IF(MAX(0,C34-(MIN(C34,Parâmetros!$B$8)*Parâmetros!$B$7)-(IF(Parâmetros!$B$15=1,0,Parâmetros!$B$14)*Parâmetros!$B$10))&lt;=Parâmetros!$B$25,0,IF(MAX(0,C34-(MIN(C34,Parâmetros!$B$8)*Parâmetros!$B$7)-(IF(Parâmetros!$B$15=1,0,Parâmetros!$B$14)*Parâmetros!$B$10))&lt;=Parâmetros!$B$26,MAX(0,C34-(MIN(C34,Parâmetros!$B$8)*Parâmetros!$B$7)-(IF(Parâmetros!$B$15=1,0,Parâmetros!$B$14)*Parâmetros!$B$10))*0.075-Parâmetros!$B$29,IF(MAX(0,C34-(MIN(C34,Parâmetros!$B$8)*Parâmetros!$B$7)-(IF(Parâmetros!$B$15=1,0,Parâmetros!$B$14)*Parâmetros!$B$10))&lt;=Parâmetros!$B$27,MAX(0,C34-(MIN(C34,Parâmetros!$B$8)*Parâmetros!$B$7)-(IF(Parâmetros!$B$15=1,0,Parâmetros!$B$14)*Parâmetros!$B$10))*0.15-Parâmetros!$B$30,IF(MAX(0,C34-(MIN(C34,Parâmetros!$B$8)*Parâmetros!$B$7)-(IF(Parâmetros!$B$15=1,0,Parâmetros!$B$14)*Parâmetros!$B$10))&lt;=Parâmetros!$B$28,MAX(0,C34-(MIN(C34,Parâmetros!$B$8)*Parâmetros!$B$7)-(IF(Parâmetros!$B$15=1,0,Parâmetros!$B$14)*Parâmetros!$B$10))*0.225-Parâmetros!$B$31,MAX(0,C34-(MIN(C34,Parâmetros!$B$8)*Parâmetros!$B$7)-(IF(Parâmetros!$B$15=1,0,Parâmetros!$B$14)*Parâmetros!$B$10))*0.275-Parâmetros!$B$32)))))-IF(C34&lt;=Parâmetros!$B$34,Parâmetros!$B$35-Parâmetros!$B$36*C34,0)))</f>
        <v/>
      </c>
      <c r="I34" s="18">
        <f>MAX(0,B34-F34-C34)</f>
        <v/>
      </c>
      <c r="J34" s="13">
        <f>B34-F34-G34-H34</f>
        <v/>
      </c>
      <c r="K34" s="22">
        <f>IF(A34&lt;Parâmetros!$B$23,Parâmetros!$B$19,MAX(Parâmetros!$B$22,Parâmetros!$B$6*SUM(B23:B34)-SUM(K23:K33)))</f>
        <v/>
      </c>
      <c r="L34" s="20">
        <f>IF(SUM(B23:B34)=0,0,SUM(K23:K34)/SUM(B23:B34))</f>
        <v/>
      </c>
      <c r="M34" s="21">
        <f>IF(L34&gt;=Parâmetros!$B$6,"III","V")</f>
        <v/>
      </c>
      <c r="N34" s="18">
        <f>IF(M34="III",B34*Parâmetros!$B$4,B34*Parâmetros!$B$5)</f>
        <v/>
      </c>
      <c r="O34" s="18">
        <f>MIN(K34,Parâmetros!$B$8)*Parâmetros!$B$7</f>
        <v/>
      </c>
      <c r="P34" s="18">
        <f>IF(K34&lt;=Parâmetros!$B$33,0,MAX(0,(IF(MAX(0,K34-(MIN(K34,Parâmetros!$B$8)*Parâmetros!$B$7)-(IF(Parâmetros!$B$15=1,0,Parâmetros!$B$14)*Parâmetros!$B$10))&lt;=Parâmetros!$B$25,0,IF(MAX(0,K34-(MIN(K34,Parâmetros!$B$8)*Parâmetros!$B$7)-(IF(Parâmetros!$B$15=1,0,Parâmetros!$B$14)*Parâmetros!$B$10))&lt;=Parâmetros!$B$26,MAX(0,K34-(MIN(K34,Parâmetros!$B$8)*Parâmetros!$B$7)-(IF(Parâmetros!$B$15=1,0,Parâmetros!$B$14)*Parâmetros!$B$10))*0.075-Parâmetros!$B$29,IF(MAX(0,K34-(MIN(K34,Parâmetros!$B$8)*Parâmetros!$B$7)-(IF(Parâmetros!$B$15=1,0,Parâmetros!$B$14)*Parâmetros!$B$10))&lt;=Parâmetros!$B$27,MAX(0,K34-(MIN(K34,Parâmetros!$B$8)*Parâmetros!$B$7)-(IF(Parâmetros!$B$15=1,0,Parâmetros!$B$14)*Parâmetros!$B$10))*0.15-Parâmetros!$B$30,IF(MAX(0,K34-(MIN(K34,Parâmetros!$B$8)*Parâmetros!$B$7)-(IF(Parâmetros!$B$15=1,0,Parâmetros!$B$14)*Parâmetros!$B$10))&lt;=Parâmetros!$B$28,MAX(0,K34-(MIN(K34,Parâmetros!$B$8)*Parâmetros!$B$7)-(IF(Parâmetros!$B$15=1,0,Parâmetros!$B$14)*Parâmetros!$B$10))*0.225-Parâmetros!$B$31,MAX(0,K34-(MIN(K34,Parâmetros!$B$8)*Parâmetros!$B$7)-(IF(Parâmetros!$B$15=1,0,Parâmetros!$B$14)*Parâmetros!$B$10))*0.275-Parâmetros!$B$32)))))-IF(K34&lt;=Parâmetros!$B$34,Parâmetros!$B$35-Parâmetros!$B$36*K34,0)))</f>
        <v/>
      </c>
      <c r="Q34" s="18">
        <f>MAX(0,B34-N34-K34)</f>
        <v/>
      </c>
      <c r="R34" s="13">
        <f>B34-N34-O34-P34</f>
        <v/>
      </c>
      <c r="S34" s="23">
        <f>Parâmetros!$B$21</f>
        <v/>
      </c>
      <c r="T34" s="20">
        <f>IF(SUM(B23:B34)=0,0,SUM(S23:S34)/SUM(B23:B34))</f>
        <v/>
      </c>
      <c r="U34" s="21">
        <f>IF(T34&gt;=Parâmetros!$B$6,"III","V")</f>
        <v/>
      </c>
      <c r="V34" s="18">
        <f>IF(U34="III",B34*Parâmetros!$B$4,B34*Parâmetros!$B$5)</f>
        <v/>
      </c>
      <c r="W34" s="18">
        <f>MIN(S34,Parâmetros!$B$8)*Parâmetros!$B$7</f>
        <v/>
      </c>
      <c r="X34" s="18">
        <f>IF(S34&lt;=Parâmetros!$B$33,0,MAX(0,(IF(MAX(0,S34-(MIN(S34,Parâmetros!$B$8)*Parâmetros!$B$7)-(IF(Parâmetros!$B$15=1,0,Parâmetros!$B$14)*Parâmetros!$B$10))&lt;=Parâmetros!$B$25,0,IF(MAX(0,S34-(MIN(S34,Parâmetros!$B$8)*Parâmetros!$B$7)-(IF(Parâmetros!$B$15=1,0,Parâmetros!$B$14)*Parâmetros!$B$10))&lt;=Parâmetros!$B$26,MAX(0,S34-(MIN(S34,Parâmetros!$B$8)*Parâmetros!$B$7)-(IF(Parâmetros!$B$15=1,0,Parâmetros!$B$14)*Parâmetros!$B$10))*0.075-Parâmetros!$B$29,IF(MAX(0,S34-(MIN(S34,Parâmetros!$B$8)*Parâmetros!$B$7)-(IF(Parâmetros!$B$15=1,0,Parâmetros!$B$14)*Parâmetros!$B$10))&lt;=Parâmetros!$B$27,MAX(0,S34-(MIN(S34,Parâmetros!$B$8)*Parâmetros!$B$7)-(IF(Parâmetros!$B$15=1,0,Parâmetros!$B$14)*Parâmetros!$B$10))*0.15-Parâmetros!$B$30,IF(MAX(0,S34-(MIN(S34,Parâmetros!$B$8)*Parâmetros!$B$7)-(IF(Parâmetros!$B$15=1,0,Parâmetros!$B$14)*Parâmetros!$B$10))&lt;=Parâmetros!$B$28,MAX(0,S34-(MIN(S34,Parâmetros!$B$8)*Parâmetros!$B$7)-(IF(Parâmetros!$B$15=1,0,Parâmetros!$B$14)*Parâmetros!$B$10))*0.225-Parâmetros!$B$31,MAX(0,S34-(MIN(S34,Parâmetros!$B$8)*Parâmetros!$B$7)-(IF(Parâmetros!$B$15=1,0,Parâmetros!$B$14)*Parâmetros!$B$10))*0.275-Parâmetros!$B$32)))))-IF(S34&lt;=Parâmetros!$B$34,Parâmetros!$B$35-Parâmetros!$B$36*S34,0)))</f>
        <v/>
      </c>
      <c r="Y34" s="18">
        <f>MAX(0,B34-V34-S34)</f>
        <v/>
      </c>
      <c r="Z34" s="13">
        <f>B34-V34-W34-X34</f>
        <v/>
      </c>
    </row>
    <row r="35">
      <c r="A35" s="35" t="n">
        <v>46569</v>
      </c>
      <c r="B35" s="18">
        <f>Notas!G36</f>
        <v/>
      </c>
      <c r="C35" s="19">
        <f>Parâmetros!$B$19</f>
        <v/>
      </c>
      <c r="D35" s="20">
        <f>IF(SUM(B24:B35)=0,0,SUM(C24:C35)/SUM(B24:B35))</f>
        <v/>
      </c>
      <c r="E35" s="21">
        <f>IF(D35&gt;=Parâmetros!$B$6,"III","V")</f>
        <v/>
      </c>
      <c r="F35" s="18">
        <f>IF(E35="III",B35*Parâmetros!$B$4,B35*Parâmetros!$B$5)</f>
        <v/>
      </c>
      <c r="G35" s="18">
        <f>MIN(C35,Parâmetros!$B$8)*Parâmetros!$B$7</f>
        <v/>
      </c>
      <c r="H35" s="18">
        <f>IF(C35&lt;=Parâmetros!$B$33,0,MAX(0,(IF(MAX(0,C35-(MIN(C35,Parâmetros!$B$8)*Parâmetros!$B$7)-(IF(Parâmetros!$B$15=1,0,Parâmetros!$B$14)*Parâmetros!$B$10))&lt;=Parâmetros!$B$25,0,IF(MAX(0,C35-(MIN(C35,Parâmetros!$B$8)*Parâmetros!$B$7)-(IF(Parâmetros!$B$15=1,0,Parâmetros!$B$14)*Parâmetros!$B$10))&lt;=Parâmetros!$B$26,MAX(0,C35-(MIN(C35,Parâmetros!$B$8)*Parâmetros!$B$7)-(IF(Parâmetros!$B$15=1,0,Parâmetros!$B$14)*Parâmetros!$B$10))*0.075-Parâmetros!$B$29,IF(MAX(0,C35-(MIN(C35,Parâmetros!$B$8)*Parâmetros!$B$7)-(IF(Parâmetros!$B$15=1,0,Parâmetros!$B$14)*Parâmetros!$B$10))&lt;=Parâmetros!$B$27,MAX(0,C35-(MIN(C35,Parâmetros!$B$8)*Parâmetros!$B$7)-(IF(Parâmetros!$B$15=1,0,Parâmetros!$B$14)*Parâmetros!$B$10))*0.15-Parâmetros!$B$30,IF(MAX(0,C35-(MIN(C35,Parâmetros!$B$8)*Parâmetros!$B$7)-(IF(Parâmetros!$B$15=1,0,Parâmetros!$B$14)*Parâmetros!$B$10))&lt;=Parâmetros!$B$28,MAX(0,C35-(MIN(C35,Parâmetros!$B$8)*Parâmetros!$B$7)-(IF(Parâmetros!$B$15=1,0,Parâmetros!$B$14)*Parâmetros!$B$10))*0.225-Parâmetros!$B$31,MAX(0,C35-(MIN(C35,Parâmetros!$B$8)*Parâmetros!$B$7)-(IF(Parâmetros!$B$15=1,0,Parâmetros!$B$14)*Parâmetros!$B$10))*0.275-Parâmetros!$B$32)))))-IF(C35&lt;=Parâmetros!$B$34,Parâmetros!$B$35-Parâmetros!$B$36*C35,0)))</f>
        <v/>
      </c>
      <c r="I35" s="18">
        <f>MAX(0,B35-F35-C35)</f>
        <v/>
      </c>
      <c r="J35" s="13">
        <f>B35-F35-G35-H35</f>
        <v/>
      </c>
      <c r="K35" s="22">
        <f>IF(A35&lt;Parâmetros!$B$23,Parâmetros!$B$19,MAX(Parâmetros!$B$22,Parâmetros!$B$6*SUM(B24:B35)-SUM(K24:K34)))</f>
        <v/>
      </c>
      <c r="L35" s="20">
        <f>IF(SUM(B24:B35)=0,0,SUM(K24:K35)/SUM(B24:B35))</f>
        <v/>
      </c>
      <c r="M35" s="21">
        <f>IF(L35&gt;=Parâmetros!$B$6,"III","V")</f>
        <v/>
      </c>
      <c r="N35" s="18">
        <f>IF(M35="III",B35*Parâmetros!$B$4,B35*Parâmetros!$B$5)</f>
        <v/>
      </c>
      <c r="O35" s="18">
        <f>MIN(K35,Parâmetros!$B$8)*Parâmetros!$B$7</f>
        <v/>
      </c>
      <c r="P35" s="18">
        <f>IF(K35&lt;=Parâmetros!$B$33,0,MAX(0,(IF(MAX(0,K35-(MIN(K35,Parâmetros!$B$8)*Parâmetros!$B$7)-(IF(Parâmetros!$B$15=1,0,Parâmetros!$B$14)*Parâmetros!$B$10))&lt;=Parâmetros!$B$25,0,IF(MAX(0,K35-(MIN(K35,Parâmetros!$B$8)*Parâmetros!$B$7)-(IF(Parâmetros!$B$15=1,0,Parâmetros!$B$14)*Parâmetros!$B$10))&lt;=Parâmetros!$B$26,MAX(0,K35-(MIN(K35,Parâmetros!$B$8)*Parâmetros!$B$7)-(IF(Parâmetros!$B$15=1,0,Parâmetros!$B$14)*Parâmetros!$B$10))*0.075-Parâmetros!$B$29,IF(MAX(0,K35-(MIN(K35,Parâmetros!$B$8)*Parâmetros!$B$7)-(IF(Parâmetros!$B$15=1,0,Parâmetros!$B$14)*Parâmetros!$B$10))&lt;=Parâmetros!$B$27,MAX(0,K35-(MIN(K35,Parâmetros!$B$8)*Parâmetros!$B$7)-(IF(Parâmetros!$B$15=1,0,Parâmetros!$B$14)*Parâmetros!$B$10))*0.15-Parâmetros!$B$30,IF(MAX(0,K35-(MIN(K35,Parâmetros!$B$8)*Parâmetros!$B$7)-(IF(Parâmetros!$B$15=1,0,Parâmetros!$B$14)*Parâmetros!$B$10))&lt;=Parâmetros!$B$28,MAX(0,K35-(MIN(K35,Parâmetros!$B$8)*Parâmetros!$B$7)-(IF(Parâmetros!$B$15=1,0,Parâmetros!$B$14)*Parâmetros!$B$10))*0.225-Parâmetros!$B$31,MAX(0,K35-(MIN(K35,Parâmetros!$B$8)*Parâmetros!$B$7)-(IF(Parâmetros!$B$15=1,0,Parâmetros!$B$14)*Parâmetros!$B$10))*0.275-Parâmetros!$B$32)))))-IF(K35&lt;=Parâmetros!$B$34,Parâmetros!$B$35-Parâmetros!$B$36*K35,0)))</f>
        <v/>
      </c>
      <c r="Q35" s="18">
        <f>MAX(0,B35-N35-K35)</f>
        <v/>
      </c>
      <c r="R35" s="13">
        <f>B35-N35-O35-P35</f>
        <v/>
      </c>
      <c r="S35" s="23">
        <f>Parâmetros!$B$21</f>
        <v/>
      </c>
      <c r="T35" s="20">
        <f>IF(SUM(B24:B35)=0,0,SUM(S24:S35)/SUM(B24:B35))</f>
        <v/>
      </c>
      <c r="U35" s="21">
        <f>IF(T35&gt;=Parâmetros!$B$6,"III","V")</f>
        <v/>
      </c>
      <c r="V35" s="18">
        <f>IF(U35="III",B35*Parâmetros!$B$4,B35*Parâmetros!$B$5)</f>
        <v/>
      </c>
      <c r="W35" s="18">
        <f>MIN(S35,Parâmetros!$B$8)*Parâmetros!$B$7</f>
        <v/>
      </c>
      <c r="X35" s="18">
        <f>IF(S35&lt;=Parâmetros!$B$33,0,MAX(0,(IF(MAX(0,S35-(MIN(S35,Parâmetros!$B$8)*Parâmetros!$B$7)-(IF(Parâmetros!$B$15=1,0,Parâmetros!$B$14)*Parâmetros!$B$10))&lt;=Parâmetros!$B$25,0,IF(MAX(0,S35-(MIN(S35,Parâmetros!$B$8)*Parâmetros!$B$7)-(IF(Parâmetros!$B$15=1,0,Parâmetros!$B$14)*Parâmetros!$B$10))&lt;=Parâmetros!$B$26,MAX(0,S35-(MIN(S35,Parâmetros!$B$8)*Parâmetros!$B$7)-(IF(Parâmetros!$B$15=1,0,Parâmetros!$B$14)*Parâmetros!$B$10))*0.075-Parâmetros!$B$29,IF(MAX(0,S35-(MIN(S35,Parâmetros!$B$8)*Parâmetros!$B$7)-(IF(Parâmetros!$B$15=1,0,Parâmetros!$B$14)*Parâmetros!$B$10))&lt;=Parâmetros!$B$27,MAX(0,S35-(MIN(S35,Parâmetros!$B$8)*Parâmetros!$B$7)-(IF(Parâmetros!$B$15=1,0,Parâmetros!$B$14)*Parâmetros!$B$10))*0.15-Parâmetros!$B$30,IF(MAX(0,S35-(MIN(S35,Parâmetros!$B$8)*Parâmetros!$B$7)-(IF(Parâmetros!$B$15=1,0,Parâmetros!$B$14)*Parâmetros!$B$10))&lt;=Parâmetros!$B$28,MAX(0,S35-(MIN(S35,Parâmetros!$B$8)*Parâmetros!$B$7)-(IF(Parâmetros!$B$15=1,0,Parâmetros!$B$14)*Parâmetros!$B$10))*0.225-Parâmetros!$B$31,MAX(0,S35-(MIN(S35,Parâmetros!$B$8)*Parâmetros!$B$7)-(IF(Parâmetros!$B$15=1,0,Parâmetros!$B$14)*Parâmetros!$B$10))*0.275-Parâmetros!$B$32)))))-IF(S35&lt;=Parâmetros!$B$34,Parâmetros!$B$35-Parâmetros!$B$36*S35,0)))</f>
        <v/>
      </c>
      <c r="Y35" s="18">
        <f>MAX(0,B35-V35-S35)</f>
        <v/>
      </c>
      <c r="Z35" s="13">
        <f>B35-V35-W35-X35</f>
        <v/>
      </c>
    </row>
    <row r="36">
      <c r="A36" s="35" t="n">
        <v>46600</v>
      </c>
      <c r="B36" s="18">
        <f>Notas!G37</f>
        <v/>
      </c>
      <c r="C36" s="19">
        <f>Parâmetros!$B$19</f>
        <v/>
      </c>
      <c r="D36" s="20">
        <f>IF(SUM(B25:B36)=0,0,SUM(C25:C36)/SUM(B25:B36))</f>
        <v/>
      </c>
      <c r="E36" s="21">
        <f>IF(D36&gt;=Parâmetros!$B$6,"III","V")</f>
        <v/>
      </c>
      <c r="F36" s="18">
        <f>IF(E36="III",B36*Parâmetros!$B$4,B36*Parâmetros!$B$5)</f>
        <v/>
      </c>
      <c r="G36" s="18">
        <f>MIN(C36,Parâmetros!$B$8)*Parâmetros!$B$7</f>
        <v/>
      </c>
      <c r="H36" s="18">
        <f>IF(C36&lt;=Parâmetros!$B$33,0,MAX(0,(IF(MAX(0,C36-(MIN(C36,Parâmetros!$B$8)*Parâmetros!$B$7)-(IF(Parâmetros!$B$15=1,0,Parâmetros!$B$14)*Parâmetros!$B$10))&lt;=Parâmetros!$B$25,0,IF(MAX(0,C36-(MIN(C36,Parâmetros!$B$8)*Parâmetros!$B$7)-(IF(Parâmetros!$B$15=1,0,Parâmetros!$B$14)*Parâmetros!$B$10))&lt;=Parâmetros!$B$26,MAX(0,C36-(MIN(C36,Parâmetros!$B$8)*Parâmetros!$B$7)-(IF(Parâmetros!$B$15=1,0,Parâmetros!$B$14)*Parâmetros!$B$10))*0.075-Parâmetros!$B$29,IF(MAX(0,C36-(MIN(C36,Parâmetros!$B$8)*Parâmetros!$B$7)-(IF(Parâmetros!$B$15=1,0,Parâmetros!$B$14)*Parâmetros!$B$10))&lt;=Parâmetros!$B$27,MAX(0,C36-(MIN(C36,Parâmetros!$B$8)*Parâmetros!$B$7)-(IF(Parâmetros!$B$15=1,0,Parâmetros!$B$14)*Parâmetros!$B$10))*0.15-Parâmetros!$B$30,IF(MAX(0,C36-(MIN(C36,Parâmetros!$B$8)*Parâmetros!$B$7)-(IF(Parâmetros!$B$15=1,0,Parâmetros!$B$14)*Parâmetros!$B$10))&lt;=Parâmetros!$B$28,MAX(0,C36-(MIN(C36,Parâmetros!$B$8)*Parâmetros!$B$7)-(IF(Parâmetros!$B$15=1,0,Parâmetros!$B$14)*Parâmetros!$B$10))*0.225-Parâmetros!$B$31,MAX(0,C36-(MIN(C36,Parâmetros!$B$8)*Parâmetros!$B$7)-(IF(Parâmetros!$B$15=1,0,Parâmetros!$B$14)*Parâmetros!$B$10))*0.275-Parâmetros!$B$32)))))-IF(C36&lt;=Parâmetros!$B$34,Parâmetros!$B$35-Parâmetros!$B$36*C36,0)))</f>
        <v/>
      </c>
      <c r="I36" s="18">
        <f>MAX(0,B36-F36-C36)</f>
        <v/>
      </c>
      <c r="J36" s="13">
        <f>B36-F36-G36-H36</f>
        <v/>
      </c>
      <c r="K36" s="22">
        <f>IF(A36&lt;Parâmetros!$B$23,Parâmetros!$B$19,MAX(Parâmetros!$B$22,Parâmetros!$B$6*SUM(B25:B36)-SUM(K25:K35)))</f>
        <v/>
      </c>
      <c r="L36" s="20">
        <f>IF(SUM(B25:B36)=0,0,SUM(K25:K36)/SUM(B25:B36))</f>
        <v/>
      </c>
      <c r="M36" s="21">
        <f>IF(L36&gt;=Parâmetros!$B$6,"III","V")</f>
        <v/>
      </c>
      <c r="N36" s="18">
        <f>IF(M36="III",B36*Parâmetros!$B$4,B36*Parâmetros!$B$5)</f>
        <v/>
      </c>
      <c r="O36" s="18">
        <f>MIN(K36,Parâmetros!$B$8)*Parâmetros!$B$7</f>
        <v/>
      </c>
      <c r="P36" s="18">
        <f>IF(K36&lt;=Parâmetros!$B$33,0,MAX(0,(IF(MAX(0,K36-(MIN(K36,Parâmetros!$B$8)*Parâmetros!$B$7)-(IF(Parâmetros!$B$15=1,0,Parâmetros!$B$14)*Parâmetros!$B$10))&lt;=Parâmetros!$B$25,0,IF(MAX(0,K36-(MIN(K36,Parâmetros!$B$8)*Parâmetros!$B$7)-(IF(Parâmetros!$B$15=1,0,Parâmetros!$B$14)*Parâmetros!$B$10))&lt;=Parâmetros!$B$26,MAX(0,K36-(MIN(K36,Parâmetros!$B$8)*Parâmetros!$B$7)-(IF(Parâmetros!$B$15=1,0,Parâmetros!$B$14)*Parâmetros!$B$10))*0.075-Parâmetros!$B$29,IF(MAX(0,K36-(MIN(K36,Parâmetros!$B$8)*Parâmetros!$B$7)-(IF(Parâmetros!$B$15=1,0,Parâmetros!$B$14)*Parâmetros!$B$10))&lt;=Parâmetros!$B$27,MAX(0,K36-(MIN(K36,Parâmetros!$B$8)*Parâmetros!$B$7)-(IF(Parâmetros!$B$15=1,0,Parâmetros!$B$14)*Parâmetros!$B$10))*0.15-Parâmetros!$B$30,IF(MAX(0,K36-(MIN(K36,Parâmetros!$B$8)*Parâmetros!$B$7)-(IF(Parâmetros!$B$15=1,0,Parâmetros!$B$14)*Parâmetros!$B$10))&lt;=Parâmetros!$B$28,MAX(0,K36-(MIN(K36,Parâmetros!$B$8)*Parâmetros!$B$7)-(IF(Parâmetros!$B$15=1,0,Parâmetros!$B$14)*Parâmetros!$B$10))*0.225-Parâmetros!$B$31,MAX(0,K36-(MIN(K36,Parâmetros!$B$8)*Parâmetros!$B$7)-(IF(Parâmetros!$B$15=1,0,Parâmetros!$B$14)*Parâmetros!$B$10))*0.275-Parâmetros!$B$32)))))-IF(K36&lt;=Parâmetros!$B$34,Parâmetros!$B$35-Parâmetros!$B$36*K36,0)))</f>
        <v/>
      </c>
      <c r="Q36" s="18">
        <f>MAX(0,B36-N36-K36)</f>
        <v/>
      </c>
      <c r="R36" s="13">
        <f>B36-N36-O36-P36</f>
        <v/>
      </c>
      <c r="S36" s="23">
        <f>Parâmetros!$B$21</f>
        <v/>
      </c>
      <c r="T36" s="20">
        <f>IF(SUM(B25:B36)=0,0,SUM(S25:S36)/SUM(B25:B36))</f>
        <v/>
      </c>
      <c r="U36" s="21">
        <f>IF(T36&gt;=Parâmetros!$B$6,"III","V")</f>
        <v/>
      </c>
      <c r="V36" s="18">
        <f>IF(U36="III",B36*Parâmetros!$B$4,B36*Parâmetros!$B$5)</f>
        <v/>
      </c>
      <c r="W36" s="18">
        <f>MIN(S36,Parâmetros!$B$8)*Parâmetros!$B$7</f>
        <v/>
      </c>
      <c r="X36" s="18">
        <f>IF(S36&lt;=Parâmetros!$B$33,0,MAX(0,(IF(MAX(0,S36-(MIN(S36,Parâmetros!$B$8)*Parâmetros!$B$7)-(IF(Parâmetros!$B$15=1,0,Parâmetros!$B$14)*Parâmetros!$B$10))&lt;=Parâmetros!$B$25,0,IF(MAX(0,S36-(MIN(S36,Parâmetros!$B$8)*Parâmetros!$B$7)-(IF(Parâmetros!$B$15=1,0,Parâmetros!$B$14)*Parâmetros!$B$10))&lt;=Parâmetros!$B$26,MAX(0,S36-(MIN(S36,Parâmetros!$B$8)*Parâmetros!$B$7)-(IF(Parâmetros!$B$15=1,0,Parâmetros!$B$14)*Parâmetros!$B$10))*0.075-Parâmetros!$B$29,IF(MAX(0,S36-(MIN(S36,Parâmetros!$B$8)*Parâmetros!$B$7)-(IF(Parâmetros!$B$15=1,0,Parâmetros!$B$14)*Parâmetros!$B$10))&lt;=Parâmetros!$B$27,MAX(0,S36-(MIN(S36,Parâmetros!$B$8)*Parâmetros!$B$7)-(IF(Parâmetros!$B$15=1,0,Parâmetros!$B$14)*Parâmetros!$B$10))*0.15-Parâmetros!$B$30,IF(MAX(0,S36-(MIN(S36,Parâmetros!$B$8)*Parâmetros!$B$7)-(IF(Parâmetros!$B$15=1,0,Parâmetros!$B$14)*Parâmetros!$B$10))&lt;=Parâmetros!$B$28,MAX(0,S36-(MIN(S36,Parâmetros!$B$8)*Parâmetros!$B$7)-(IF(Parâmetros!$B$15=1,0,Parâmetros!$B$14)*Parâmetros!$B$10))*0.225-Parâmetros!$B$31,MAX(0,S36-(MIN(S36,Parâmetros!$B$8)*Parâmetros!$B$7)-(IF(Parâmetros!$B$15=1,0,Parâmetros!$B$14)*Parâmetros!$B$10))*0.275-Parâmetros!$B$32)))))-IF(S36&lt;=Parâmetros!$B$34,Parâmetros!$B$35-Parâmetros!$B$36*S36,0)))</f>
        <v/>
      </c>
      <c r="Y36" s="18">
        <f>MAX(0,B36-V36-S36)</f>
        <v/>
      </c>
      <c r="Z36" s="13">
        <f>B36-V36-W36-X36</f>
        <v/>
      </c>
    </row>
    <row r="37">
      <c r="A37" s="35" t="n">
        <v>46631</v>
      </c>
      <c r="B37" s="18">
        <f>Notas!G38</f>
        <v/>
      </c>
      <c r="C37" s="19">
        <f>Parâmetros!$B$19</f>
        <v/>
      </c>
      <c r="D37" s="20">
        <f>IF(SUM(B26:B37)=0,0,SUM(C26:C37)/SUM(B26:B37))</f>
        <v/>
      </c>
      <c r="E37" s="21">
        <f>IF(D37&gt;=Parâmetros!$B$6,"III","V")</f>
        <v/>
      </c>
      <c r="F37" s="18">
        <f>IF(E37="III",B37*Parâmetros!$B$4,B37*Parâmetros!$B$5)</f>
        <v/>
      </c>
      <c r="G37" s="18">
        <f>MIN(C37,Parâmetros!$B$8)*Parâmetros!$B$7</f>
        <v/>
      </c>
      <c r="H37" s="18">
        <f>IF(C37&lt;=Parâmetros!$B$33,0,MAX(0,(IF(MAX(0,C37-(MIN(C37,Parâmetros!$B$8)*Parâmetros!$B$7)-(IF(Parâmetros!$B$15=1,0,Parâmetros!$B$14)*Parâmetros!$B$10))&lt;=Parâmetros!$B$25,0,IF(MAX(0,C37-(MIN(C37,Parâmetros!$B$8)*Parâmetros!$B$7)-(IF(Parâmetros!$B$15=1,0,Parâmetros!$B$14)*Parâmetros!$B$10))&lt;=Parâmetros!$B$26,MAX(0,C37-(MIN(C37,Parâmetros!$B$8)*Parâmetros!$B$7)-(IF(Parâmetros!$B$15=1,0,Parâmetros!$B$14)*Parâmetros!$B$10))*0.075-Parâmetros!$B$29,IF(MAX(0,C37-(MIN(C37,Parâmetros!$B$8)*Parâmetros!$B$7)-(IF(Parâmetros!$B$15=1,0,Parâmetros!$B$14)*Parâmetros!$B$10))&lt;=Parâmetros!$B$27,MAX(0,C37-(MIN(C37,Parâmetros!$B$8)*Parâmetros!$B$7)-(IF(Parâmetros!$B$15=1,0,Parâmetros!$B$14)*Parâmetros!$B$10))*0.15-Parâmetros!$B$30,IF(MAX(0,C37-(MIN(C37,Parâmetros!$B$8)*Parâmetros!$B$7)-(IF(Parâmetros!$B$15=1,0,Parâmetros!$B$14)*Parâmetros!$B$10))&lt;=Parâmetros!$B$28,MAX(0,C37-(MIN(C37,Parâmetros!$B$8)*Parâmetros!$B$7)-(IF(Parâmetros!$B$15=1,0,Parâmetros!$B$14)*Parâmetros!$B$10))*0.225-Parâmetros!$B$31,MAX(0,C37-(MIN(C37,Parâmetros!$B$8)*Parâmetros!$B$7)-(IF(Parâmetros!$B$15=1,0,Parâmetros!$B$14)*Parâmetros!$B$10))*0.275-Parâmetros!$B$32)))))-IF(C37&lt;=Parâmetros!$B$34,Parâmetros!$B$35-Parâmetros!$B$36*C37,0)))</f>
        <v/>
      </c>
      <c r="I37" s="18">
        <f>MAX(0,B37-F37-C37)</f>
        <v/>
      </c>
      <c r="J37" s="13">
        <f>B37-F37-G37-H37</f>
        <v/>
      </c>
      <c r="K37" s="22">
        <f>IF(A37&lt;Parâmetros!$B$23,Parâmetros!$B$19,MAX(Parâmetros!$B$22,Parâmetros!$B$6*SUM(B26:B37)-SUM(K26:K36)))</f>
        <v/>
      </c>
      <c r="L37" s="20">
        <f>IF(SUM(B26:B37)=0,0,SUM(K26:K37)/SUM(B26:B37))</f>
        <v/>
      </c>
      <c r="M37" s="21">
        <f>IF(L37&gt;=Parâmetros!$B$6,"III","V")</f>
        <v/>
      </c>
      <c r="N37" s="18">
        <f>IF(M37="III",B37*Parâmetros!$B$4,B37*Parâmetros!$B$5)</f>
        <v/>
      </c>
      <c r="O37" s="18">
        <f>MIN(K37,Parâmetros!$B$8)*Parâmetros!$B$7</f>
        <v/>
      </c>
      <c r="P37" s="18">
        <f>IF(K37&lt;=Parâmetros!$B$33,0,MAX(0,(IF(MAX(0,K37-(MIN(K37,Parâmetros!$B$8)*Parâmetros!$B$7)-(IF(Parâmetros!$B$15=1,0,Parâmetros!$B$14)*Parâmetros!$B$10))&lt;=Parâmetros!$B$25,0,IF(MAX(0,K37-(MIN(K37,Parâmetros!$B$8)*Parâmetros!$B$7)-(IF(Parâmetros!$B$15=1,0,Parâmetros!$B$14)*Parâmetros!$B$10))&lt;=Parâmetros!$B$26,MAX(0,K37-(MIN(K37,Parâmetros!$B$8)*Parâmetros!$B$7)-(IF(Parâmetros!$B$15=1,0,Parâmetros!$B$14)*Parâmetros!$B$10))*0.075-Parâmetros!$B$29,IF(MAX(0,K37-(MIN(K37,Parâmetros!$B$8)*Parâmetros!$B$7)-(IF(Parâmetros!$B$15=1,0,Parâmetros!$B$14)*Parâmetros!$B$10))&lt;=Parâmetros!$B$27,MAX(0,K37-(MIN(K37,Parâmetros!$B$8)*Parâmetros!$B$7)-(IF(Parâmetros!$B$15=1,0,Parâmetros!$B$14)*Parâmetros!$B$10))*0.15-Parâmetros!$B$30,IF(MAX(0,K37-(MIN(K37,Parâmetros!$B$8)*Parâmetros!$B$7)-(IF(Parâmetros!$B$15=1,0,Parâmetros!$B$14)*Parâmetros!$B$10))&lt;=Parâmetros!$B$28,MAX(0,K37-(MIN(K37,Parâmetros!$B$8)*Parâmetros!$B$7)-(IF(Parâmetros!$B$15=1,0,Parâmetros!$B$14)*Parâmetros!$B$10))*0.225-Parâmetros!$B$31,MAX(0,K37-(MIN(K37,Parâmetros!$B$8)*Parâmetros!$B$7)-(IF(Parâmetros!$B$15=1,0,Parâmetros!$B$14)*Parâmetros!$B$10))*0.275-Parâmetros!$B$32)))))-IF(K37&lt;=Parâmetros!$B$34,Parâmetros!$B$35-Parâmetros!$B$36*K37,0)))</f>
        <v/>
      </c>
      <c r="Q37" s="18">
        <f>MAX(0,B37-N37-K37)</f>
        <v/>
      </c>
      <c r="R37" s="13">
        <f>B37-N37-O37-P37</f>
        <v/>
      </c>
      <c r="S37" s="23">
        <f>Parâmetros!$B$21</f>
        <v/>
      </c>
      <c r="T37" s="20">
        <f>IF(SUM(B26:B37)=0,0,SUM(S26:S37)/SUM(B26:B37))</f>
        <v/>
      </c>
      <c r="U37" s="21">
        <f>IF(T37&gt;=Parâmetros!$B$6,"III","V")</f>
        <v/>
      </c>
      <c r="V37" s="18">
        <f>IF(U37="III",B37*Parâmetros!$B$4,B37*Parâmetros!$B$5)</f>
        <v/>
      </c>
      <c r="W37" s="18">
        <f>MIN(S37,Parâmetros!$B$8)*Parâmetros!$B$7</f>
        <v/>
      </c>
      <c r="X37" s="18">
        <f>IF(S37&lt;=Parâmetros!$B$33,0,MAX(0,(IF(MAX(0,S37-(MIN(S37,Parâmetros!$B$8)*Parâmetros!$B$7)-(IF(Parâmetros!$B$15=1,0,Parâmetros!$B$14)*Parâmetros!$B$10))&lt;=Parâmetros!$B$25,0,IF(MAX(0,S37-(MIN(S37,Parâmetros!$B$8)*Parâmetros!$B$7)-(IF(Parâmetros!$B$15=1,0,Parâmetros!$B$14)*Parâmetros!$B$10))&lt;=Parâmetros!$B$26,MAX(0,S37-(MIN(S37,Parâmetros!$B$8)*Parâmetros!$B$7)-(IF(Parâmetros!$B$15=1,0,Parâmetros!$B$14)*Parâmetros!$B$10))*0.075-Parâmetros!$B$29,IF(MAX(0,S37-(MIN(S37,Parâmetros!$B$8)*Parâmetros!$B$7)-(IF(Parâmetros!$B$15=1,0,Parâmetros!$B$14)*Parâmetros!$B$10))&lt;=Parâmetros!$B$27,MAX(0,S37-(MIN(S37,Parâmetros!$B$8)*Parâmetros!$B$7)-(IF(Parâmetros!$B$15=1,0,Parâmetros!$B$14)*Parâmetros!$B$10))*0.15-Parâmetros!$B$30,IF(MAX(0,S37-(MIN(S37,Parâmetros!$B$8)*Parâmetros!$B$7)-(IF(Parâmetros!$B$15=1,0,Parâmetros!$B$14)*Parâmetros!$B$10))&lt;=Parâmetros!$B$28,MAX(0,S37-(MIN(S37,Parâmetros!$B$8)*Parâmetros!$B$7)-(IF(Parâmetros!$B$15=1,0,Parâmetros!$B$14)*Parâmetros!$B$10))*0.225-Parâmetros!$B$31,MAX(0,S37-(MIN(S37,Parâmetros!$B$8)*Parâmetros!$B$7)-(IF(Parâmetros!$B$15=1,0,Parâmetros!$B$14)*Parâmetros!$B$10))*0.275-Parâmetros!$B$32)))))-IF(S37&lt;=Parâmetros!$B$34,Parâmetros!$B$35-Parâmetros!$B$36*S37,0)))</f>
        <v/>
      </c>
      <c r="Y37" s="18">
        <f>MAX(0,B37-V37-S37)</f>
        <v/>
      </c>
      <c r="Z37" s="13">
        <f>B37-V37-W37-X37</f>
        <v/>
      </c>
    </row>
    <row r="38">
      <c r="A38" s="35" t="n">
        <v>46661</v>
      </c>
      <c r="B38" s="18">
        <f>Notas!G39</f>
        <v/>
      </c>
      <c r="C38" s="19">
        <f>Parâmetros!$B$19</f>
        <v/>
      </c>
      <c r="D38" s="20">
        <f>IF(SUM(B27:B38)=0,0,SUM(C27:C38)/SUM(B27:B38))</f>
        <v/>
      </c>
      <c r="E38" s="21">
        <f>IF(D38&gt;=Parâmetros!$B$6,"III","V")</f>
        <v/>
      </c>
      <c r="F38" s="18">
        <f>IF(E38="III",B38*Parâmetros!$B$4,B38*Parâmetros!$B$5)</f>
        <v/>
      </c>
      <c r="G38" s="18">
        <f>MIN(C38,Parâmetros!$B$8)*Parâmetros!$B$7</f>
        <v/>
      </c>
      <c r="H38" s="18">
        <f>IF(C38&lt;=Parâmetros!$B$33,0,MAX(0,(IF(MAX(0,C38-(MIN(C38,Parâmetros!$B$8)*Parâmetros!$B$7)-(IF(Parâmetros!$B$15=1,0,Parâmetros!$B$14)*Parâmetros!$B$10))&lt;=Parâmetros!$B$25,0,IF(MAX(0,C38-(MIN(C38,Parâmetros!$B$8)*Parâmetros!$B$7)-(IF(Parâmetros!$B$15=1,0,Parâmetros!$B$14)*Parâmetros!$B$10))&lt;=Parâmetros!$B$26,MAX(0,C38-(MIN(C38,Parâmetros!$B$8)*Parâmetros!$B$7)-(IF(Parâmetros!$B$15=1,0,Parâmetros!$B$14)*Parâmetros!$B$10))*0.075-Parâmetros!$B$29,IF(MAX(0,C38-(MIN(C38,Parâmetros!$B$8)*Parâmetros!$B$7)-(IF(Parâmetros!$B$15=1,0,Parâmetros!$B$14)*Parâmetros!$B$10))&lt;=Parâmetros!$B$27,MAX(0,C38-(MIN(C38,Parâmetros!$B$8)*Parâmetros!$B$7)-(IF(Parâmetros!$B$15=1,0,Parâmetros!$B$14)*Parâmetros!$B$10))*0.15-Parâmetros!$B$30,IF(MAX(0,C38-(MIN(C38,Parâmetros!$B$8)*Parâmetros!$B$7)-(IF(Parâmetros!$B$15=1,0,Parâmetros!$B$14)*Parâmetros!$B$10))&lt;=Parâmetros!$B$28,MAX(0,C38-(MIN(C38,Parâmetros!$B$8)*Parâmetros!$B$7)-(IF(Parâmetros!$B$15=1,0,Parâmetros!$B$14)*Parâmetros!$B$10))*0.225-Parâmetros!$B$31,MAX(0,C38-(MIN(C38,Parâmetros!$B$8)*Parâmetros!$B$7)-(IF(Parâmetros!$B$15=1,0,Parâmetros!$B$14)*Parâmetros!$B$10))*0.275-Parâmetros!$B$32)))))-IF(C38&lt;=Parâmetros!$B$34,Parâmetros!$B$35-Parâmetros!$B$36*C38,0)))</f>
        <v/>
      </c>
      <c r="I38" s="18">
        <f>MAX(0,B38-F38-C38)</f>
        <v/>
      </c>
      <c r="J38" s="13">
        <f>B38-F38-G38-H38</f>
        <v/>
      </c>
      <c r="K38" s="22">
        <f>IF(A38&lt;Parâmetros!$B$23,Parâmetros!$B$19,MAX(Parâmetros!$B$22,Parâmetros!$B$6*SUM(B27:B38)-SUM(K27:K37)))</f>
        <v/>
      </c>
      <c r="L38" s="20">
        <f>IF(SUM(B27:B38)=0,0,SUM(K27:K38)/SUM(B27:B38))</f>
        <v/>
      </c>
      <c r="M38" s="21">
        <f>IF(L38&gt;=Parâmetros!$B$6,"III","V")</f>
        <v/>
      </c>
      <c r="N38" s="18">
        <f>IF(M38="III",B38*Parâmetros!$B$4,B38*Parâmetros!$B$5)</f>
        <v/>
      </c>
      <c r="O38" s="18">
        <f>MIN(K38,Parâmetros!$B$8)*Parâmetros!$B$7</f>
        <v/>
      </c>
      <c r="P38" s="18">
        <f>IF(K38&lt;=Parâmetros!$B$33,0,MAX(0,(IF(MAX(0,K38-(MIN(K38,Parâmetros!$B$8)*Parâmetros!$B$7)-(IF(Parâmetros!$B$15=1,0,Parâmetros!$B$14)*Parâmetros!$B$10))&lt;=Parâmetros!$B$25,0,IF(MAX(0,K38-(MIN(K38,Parâmetros!$B$8)*Parâmetros!$B$7)-(IF(Parâmetros!$B$15=1,0,Parâmetros!$B$14)*Parâmetros!$B$10))&lt;=Parâmetros!$B$26,MAX(0,K38-(MIN(K38,Parâmetros!$B$8)*Parâmetros!$B$7)-(IF(Parâmetros!$B$15=1,0,Parâmetros!$B$14)*Parâmetros!$B$10))*0.075-Parâmetros!$B$29,IF(MAX(0,K38-(MIN(K38,Parâmetros!$B$8)*Parâmetros!$B$7)-(IF(Parâmetros!$B$15=1,0,Parâmetros!$B$14)*Parâmetros!$B$10))&lt;=Parâmetros!$B$27,MAX(0,K38-(MIN(K38,Parâmetros!$B$8)*Parâmetros!$B$7)-(IF(Parâmetros!$B$15=1,0,Parâmetros!$B$14)*Parâmetros!$B$10))*0.15-Parâmetros!$B$30,IF(MAX(0,K38-(MIN(K38,Parâmetros!$B$8)*Parâmetros!$B$7)-(IF(Parâmetros!$B$15=1,0,Parâmetros!$B$14)*Parâmetros!$B$10))&lt;=Parâmetros!$B$28,MAX(0,K38-(MIN(K38,Parâmetros!$B$8)*Parâmetros!$B$7)-(IF(Parâmetros!$B$15=1,0,Parâmetros!$B$14)*Parâmetros!$B$10))*0.225-Parâmetros!$B$31,MAX(0,K38-(MIN(K38,Parâmetros!$B$8)*Parâmetros!$B$7)-(IF(Parâmetros!$B$15=1,0,Parâmetros!$B$14)*Parâmetros!$B$10))*0.275-Parâmetros!$B$32)))))-IF(K38&lt;=Parâmetros!$B$34,Parâmetros!$B$35-Parâmetros!$B$36*K38,0)))</f>
        <v/>
      </c>
      <c r="Q38" s="18">
        <f>MAX(0,B38-N38-K38)</f>
        <v/>
      </c>
      <c r="R38" s="13">
        <f>B38-N38-O38-P38</f>
        <v/>
      </c>
      <c r="S38" s="23">
        <f>Parâmetros!$B$21</f>
        <v/>
      </c>
      <c r="T38" s="20">
        <f>IF(SUM(B27:B38)=0,0,SUM(S27:S38)/SUM(B27:B38))</f>
        <v/>
      </c>
      <c r="U38" s="21">
        <f>IF(T38&gt;=Parâmetros!$B$6,"III","V")</f>
        <v/>
      </c>
      <c r="V38" s="18">
        <f>IF(U38="III",B38*Parâmetros!$B$4,B38*Parâmetros!$B$5)</f>
        <v/>
      </c>
      <c r="W38" s="18">
        <f>MIN(S38,Parâmetros!$B$8)*Parâmetros!$B$7</f>
        <v/>
      </c>
      <c r="X38" s="18">
        <f>IF(S38&lt;=Parâmetros!$B$33,0,MAX(0,(IF(MAX(0,S38-(MIN(S38,Parâmetros!$B$8)*Parâmetros!$B$7)-(IF(Parâmetros!$B$15=1,0,Parâmetros!$B$14)*Parâmetros!$B$10))&lt;=Parâmetros!$B$25,0,IF(MAX(0,S38-(MIN(S38,Parâmetros!$B$8)*Parâmetros!$B$7)-(IF(Parâmetros!$B$15=1,0,Parâmetros!$B$14)*Parâmetros!$B$10))&lt;=Parâmetros!$B$26,MAX(0,S38-(MIN(S38,Parâmetros!$B$8)*Parâmetros!$B$7)-(IF(Parâmetros!$B$15=1,0,Parâmetros!$B$14)*Parâmetros!$B$10))*0.075-Parâmetros!$B$29,IF(MAX(0,S38-(MIN(S38,Parâmetros!$B$8)*Parâmetros!$B$7)-(IF(Parâmetros!$B$15=1,0,Parâmetros!$B$14)*Parâmetros!$B$10))&lt;=Parâmetros!$B$27,MAX(0,S38-(MIN(S38,Parâmetros!$B$8)*Parâmetros!$B$7)-(IF(Parâmetros!$B$15=1,0,Parâmetros!$B$14)*Parâmetros!$B$10))*0.15-Parâmetros!$B$30,IF(MAX(0,S38-(MIN(S38,Parâmetros!$B$8)*Parâmetros!$B$7)-(IF(Parâmetros!$B$15=1,0,Parâmetros!$B$14)*Parâmetros!$B$10))&lt;=Parâmetros!$B$28,MAX(0,S38-(MIN(S38,Parâmetros!$B$8)*Parâmetros!$B$7)-(IF(Parâmetros!$B$15=1,0,Parâmetros!$B$14)*Parâmetros!$B$10))*0.225-Parâmetros!$B$31,MAX(0,S38-(MIN(S38,Parâmetros!$B$8)*Parâmetros!$B$7)-(IF(Parâmetros!$B$15=1,0,Parâmetros!$B$14)*Parâmetros!$B$10))*0.275-Parâmetros!$B$32)))))-IF(S38&lt;=Parâmetros!$B$34,Parâmetros!$B$35-Parâmetros!$B$36*S38,0)))</f>
        <v/>
      </c>
      <c r="Y38" s="18">
        <f>MAX(0,B38-V38-S38)</f>
        <v/>
      </c>
      <c r="Z38" s="13">
        <f>B38-V38-W38-X38</f>
        <v/>
      </c>
    </row>
    <row r="39">
      <c r="A39" s="35" t="n">
        <v>46692</v>
      </c>
      <c r="B39" s="18">
        <f>Notas!G40</f>
        <v/>
      </c>
      <c r="C39" s="19">
        <f>Parâmetros!$B$19</f>
        <v/>
      </c>
      <c r="D39" s="20">
        <f>IF(SUM(B28:B39)=0,0,SUM(C28:C39)/SUM(B28:B39))</f>
        <v/>
      </c>
      <c r="E39" s="21">
        <f>IF(D39&gt;=Parâmetros!$B$6,"III","V")</f>
        <v/>
      </c>
      <c r="F39" s="18">
        <f>IF(E39="III",B39*Parâmetros!$B$4,B39*Parâmetros!$B$5)</f>
        <v/>
      </c>
      <c r="G39" s="18">
        <f>MIN(C39,Parâmetros!$B$8)*Parâmetros!$B$7</f>
        <v/>
      </c>
      <c r="H39" s="18">
        <f>IF(C39&lt;=Parâmetros!$B$33,0,MAX(0,(IF(MAX(0,C39-(MIN(C39,Parâmetros!$B$8)*Parâmetros!$B$7)-(IF(Parâmetros!$B$15=1,0,Parâmetros!$B$14)*Parâmetros!$B$10))&lt;=Parâmetros!$B$25,0,IF(MAX(0,C39-(MIN(C39,Parâmetros!$B$8)*Parâmetros!$B$7)-(IF(Parâmetros!$B$15=1,0,Parâmetros!$B$14)*Parâmetros!$B$10))&lt;=Parâmetros!$B$26,MAX(0,C39-(MIN(C39,Parâmetros!$B$8)*Parâmetros!$B$7)-(IF(Parâmetros!$B$15=1,0,Parâmetros!$B$14)*Parâmetros!$B$10))*0.075-Parâmetros!$B$29,IF(MAX(0,C39-(MIN(C39,Parâmetros!$B$8)*Parâmetros!$B$7)-(IF(Parâmetros!$B$15=1,0,Parâmetros!$B$14)*Parâmetros!$B$10))&lt;=Parâmetros!$B$27,MAX(0,C39-(MIN(C39,Parâmetros!$B$8)*Parâmetros!$B$7)-(IF(Parâmetros!$B$15=1,0,Parâmetros!$B$14)*Parâmetros!$B$10))*0.15-Parâmetros!$B$30,IF(MAX(0,C39-(MIN(C39,Parâmetros!$B$8)*Parâmetros!$B$7)-(IF(Parâmetros!$B$15=1,0,Parâmetros!$B$14)*Parâmetros!$B$10))&lt;=Parâmetros!$B$28,MAX(0,C39-(MIN(C39,Parâmetros!$B$8)*Parâmetros!$B$7)-(IF(Parâmetros!$B$15=1,0,Parâmetros!$B$14)*Parâmetros!$B$10))*0.225-Parâmetros!$B$31,MAX(0,C39-(MIN(C39,Parâmetros!$B$8)*Parâmetros!$B$7)-(IF(Parâmetros!$B$15=1,0,Parâmetros!$B$14)*Parâmetros!$B$10))*0.275-Parâmetros!$B$32)))))-IF(C39&lt;=Parâmetros!$B$34,Parâmetros!$B$35-Parâmetros!$B$36*C39,0)))</f>
        <v/>
      </c>
      <c r="I39" s="18">
        <f>MAX(0,B39-F39-C39)</f>
        <v/>
      </c>
      <c r="J39" s="13">
        <f>B39-F39-G39-H39</f>
        <v/>
      </c>
      <c r="K39" s="22">
        <f>IF(A39&lt;Parâmetros!$B$23,Parâmetros!$B$19,MAX(Parâmetros!$B$22,Parâmetros!$B$6*SUM(B28:B39)-SUM(K28:K38)))</f>
        <v/>
      </c>
      <c r="L39" s="20">
        <f>IF(SUM(B28:B39)=0,0,SUM(K28:K39)/SUM(B28:B39))</f>
        <v/>
      </c>
      <c r="M39" s="21">
        <f>IF(L39&gt;=Parâmetros!$B$6,"III","V")</f>
        <v/>
      </c>
      <c r="N39" s="18">
        <f>IF(M39="III",B39*Parâmetros!$B$4,B39*Parâmetros!$B$5)</f>
        <v/>
      </c>
      <c r="O39" s="18">
        <f>MIN(K39,Parâmetros!$B$8)*Parâmetros!$B$7</f>
        <v/>
      </c>
      <c r="P39" s="18">
        <f>IF(K39&lt;=Parâmetros!$B$33,0,MAX(0,(IF(MAX(0,K39-(MIN(K39,Parâmetros!$B$8)*Parâmetros!$B$7)-(IF(Parâmetros!$B$15=1,0,Parâmetros!$B$14)*Parâmetros!$B$10))&lt;=Parâmetros!$B$25,0,IF(MAX(0,K39-(MIN(K39,Parâmetros!$B$8)*Parâmetros!$B$7)-(IF(Parâmetros!$B$15=1,0,Parâmetros!$B$14)*Parâmetros!$B$10))&lt;=Parâmetros!$B$26,MAX(0,K39-(MIN(K39,Parâmetros!$B$8)*Parâmetros!$B$7)-(IF(Parâmetros!$B$15=1,0,Parâmetros!$B$14)*Parâmetros!$B$10))*0.075-Parâmetros!$B$29,IF(MAX(0,K39-(MIN(K39,Parâmetros!$B$8)*Parâmetros!$B$7)-(IF(Parâmetros!$B$15=1,0,Parâmetros!$B$14)*Parâmetros!$B$10))&lt;=Parâmetros!$B$27,MAX(0,K39-(MIN(K39,Parâmetros!$B$8)*Parâmetros!$B$7)-(IF(Parâmetros!$B$15=1,0,Parâmetros!$B$14)*Parâmetros!$B$10))*0.15-Parâmetros!$B$30,IF(MAX(0,K39-(MIN(K39,Parâmetros!$B$8)*Parâmetros!$B$7)-(IF(Parâmetros!$B$15=1,0,Parâmetros!$B$14)*Parâmetros!$B$10))&lt;=Parâmetros!$B$28,MAX(0,K39-(MIN(K39,Parâmetros!$B$8)*Parâmetros!$B$7)-(IF(Parâmetros!$B$15=1,0,Parâmetros!$B$14)*Parâmetros!$B$10))*0.225-Parâmetros!$B$31,MAX(0,K39-(MIN(K39,Parâmetros!$B$8)*Parâmetros!$B$7)-(IF(Parâmetros!$B$15=1,0,Parâmetros!$B$14)*Parâmetros!$B$10))*0.275-Parâmetros!$B$32)))))-IF(K39&lt;=Parâmetros!$B$34,Parâmetros!$B$35-Parâmetros!$B$36*K39,0)))</f>
        <v/>
      </c>
      <c r="Q39" s="18">
        <f>MAX(0,B39-N39-K39)</f>
        <v/>
      </c>
      <c r="R39" s="13">
        <f>B39-N39-O39-P39</f>
        <v/>
      </c>
      <c r="S39" s="23">
        <f>Parâmetros!$B$21</f>
        <v/>
      </c>
      <c r="T39" s="20">
        <f>IF(SUM(B28:B39)=0,0,SUM(S28:S39)/SUM(B28:B39))</f>
        <v/>
      </c>
      <c r="U39" s="21">
        <f>IF(T39&gt;=Parâmetros!$B$6,"III","V")</f>
        <v/>
      </c>
      <c r="V39" s="18">
        <f>IF(U39="III",B39*Parâmetros!$B$4,B39*Parâmetros!$B$5)</f>
        <v/>
      </c>
      <c r="W39" s="18">
        <f>MIN(S39,Parâmetros!$B$8)*Parâmetros!$B$7</f>
        <v/>
      </c>
      <c r="X39" s="18">
        <f>IF(S39&lt;=Parâmetros!$B$33,0,MAX(0,(IF(MAX(0,S39-(MIN(S39,Parâmetros!$B$8)*Parâmetros!$B$7)-(IF(Parâmetros!$B$15=1,0,Parâmetros!$B$14)*Parâmetros!$B$10))&lt;=Parâmetros!$B$25,0,IF(MAX(0,S39-(MIN(S39,Parâmetros!$B$8)*Parâmetros!$B$7)-(IF(Parâmetros!$B$15=1,0,Parâmetros!$B$14)*Parâmetros!$B$10))&lt;=Parâmetros!$B$26,MAX(0,S39-(MIN(S39,Parâmetros!$B$8)*Parâmetros!$B$7)-(IF(Parâmetros!$B$15=1,0,Parâmetros!$B$14)*Parâmetros!$B$10))*0.075-Parâmetros!$B$29,IF(MAX(0,S39-(MIN(S39,Parâmetros!$B$8)*Parâmetros!$B$7)-(IF(Parâmetros!$B$15=1,0,Parâmetros!$B$14)*Parâmetros!$B$10))&lt;=Parâmetros!$B$27,MAX(0,S39-(MIN(S39,Parâmetros!$B$8)*Parâmetros!$B$7)-(IF(Parâmetros!$B$15=1,0,Parâmetros!$B$14)*Parâmetros!$B$10))*0.15-Parâmetros!$B$30,IF(MAX(0,S39-(MIN(S39,Parâmetros!$B$8)*Parâmetros!$B$7)-(IF(Parâmetros!$B$15=1,0,Parâmetros!$B$14)*Parâmetros!$B$10))&lt;=Parâmetros!$B$28,MAX(0,S39-(MIN(S39,Parâmetros!$B$8)*Parâmetros!$B$7)-(IF(Parâmetros!$B$15=1,0,Parâmetros!$B$14)*Parâmetros!$B$10))*0.225-Parâmetros!$B$31,MAX(0,S39-(MIN(S39,Parâmetros!$B$8)*Parâmetros!$B$7)-(IF(Parâmetros!$B$15=1,0,Parâmetros!$B$14)*Parâmetros!$B$10))*0.275-Parâmetros!$B$32)))))-IF(S39&lt;=Parâmetros!$B$34,Parâmetros!$B$35-Parâmetros!$B$36*S39,0)))</f>
        <v/>
      </c>
      <c r="Y39" s="18">
        <f>MAX(0,B39-V39-S39)</f>
        <v/>
      </c>
      <c r="Z39" s="13">
        <f>B39-V39-W39-X39</f>
        <v/>
      </c>
    </row>
    <row r="40">
      <c r="A40" s="35" t="n">
        <v>46722</v>
      </c>
      <c r="B40" s="18">
        <f>Notas!G41</f>
        <v/>
      </c>
      <c r="C40" s="19">
        <f>Parâmetros!$B$19</f>
        <v/>
      </c>
      <c r="D40" s="20">
        <f>IF(SUM(B29:B40)=0,0,SUM(C29:C40)/SUM(B29:B40))</f>
        <v/>
      </c>
      <c r="E40" s="21">
        <f>IF(D40&gt;=Parâmetros!$B$6,"III","V")</f>
        <v/>
      </c>
      <c r="F40" s="18">
        <f>IF(E40="III",B40*Parâmetros!$B$4,B40*Parâmetros!$B$5)</f>
        <v/>
      </c>
      <c r="G40" s="18">
        <f>MIN(C40,Parâmetros!$B$8)*Parâmetros!$B$7</f>
        <v/>
      </c>
      <c r="H40" s="18">
        <f>IF(C40&lt;=Parâmetros!$B$33,0,MAX(0,(IF(MAX(0,C40-(MIN(C40,Parâmetros!$B$8)*Parâmetros!$B$7)-(IF(Parâmetros!$B$15=1,0,Parâmetros!$B$14)*Parâmetros!$B$10))&lt;=Parâmetros!$B$25,0,IF(MAX(0,C40-(MIN(C40,Parâmetros!$B$8)*Parâmetros!$B$7)-(IF(Parâmetros!$B$15=1,0,Parâmetros!$B$14)*Parâmetros!$B$10))&lt;=Parâmetros!$B$26,MAX(0,C40-(MIN(C40,Parâmetros!$B$8)*Parâmetros!$B$7)-(IF(Parâmetros!$B$15=1,0,Parâmetros!$B$14)*Parâmetros!$B$10))*0.075-Parâmetros!$B$29,IF(MAX(0,C40-(MIN(C40,Parâmetros!$B$8)*Parâmetros!$B$7)-(IF(Parâmetros!$B$15=1,0,Parâmetros!$B$14)*Parâmetros!$B$10))&lt;=Parâmetros!$B$27,MAX(0,C40-(MIN(C40,Parâmetros!$B$8)*Parâmetros!$B$7)-(IF(Parâmetros!$B$15=1,0,Parâmetros!$B$14)*Parâmetros!$B$10))*0.15-Parâmetros!$B$30,IF(MAX(0,C40-(MIN(C40,Parâmetros!$B$8)*Parâmetros!$B$7)-(IF(Parâmetros!$B$15=1,0,Parâmetros!$B$14)*Parâmetros!$B$10))&lt;=Parâmetros!$B$28,MAX(0,C40-(MIN(C40,Parâmetros!$B$8)*Parâmetros!$B$7)-(IF(Parâmetros!$B$15=1,0,Parâmetros!$B$14)*Parâmetros!$B$10))*0.225-Parâmetros!$B$31,MAX(0,C40-(MIN(C40,Parâmetros!$B$8)*Parâmetros!$B$7)-(IF(Parâmetros!$B$15=1,0,Parâmetros!$B$14)*Parâmetros!$B$10))*0.275-Parâmetros!$B$32)))))-IF(C40&lt;=Parâmetros!$B$34,Parâmetros!$B$35-Parâmetros!$B$36*C40,0)))</f>
        <v/>
      </c>
      <c r="I40" s="18">
        <f>MAX(0,B40-F40-C40)</f>
        <v/>
      </c>
      <c r="J40" s="13">
        <f>B40-F40-G40-H40</f>
        <v/>
      </c>
      <c r="K40" s="22">
        <f>IF(A40&lt;Parâmetros!$B$23,Parâmetros!$B$19,MAX(Parâmetros!$B$22,Parâmetros!$B$6*SUM(B29:B40)-SUM(K29:K39)))</f>
        <v/>
      </c>
      <c r="L40" s="20">
        <f>IF(SUM(B29:B40)=0,0,SUM(K29:K40)/SUM(B29:B40))</f>
        <v/>
      </c>
      <c r="M40" s="21">
        <f>IF(L40&gt;=Parâmetros!$B$6,"III","V")</f>
        <v/>
      </c>
      <c r="N40" s="18">
        <f>IF(M40="III",B40*Parâmetros!$B$4,B40*Parâmetros!$B$5)</f>
        <v/>
      </c>
      <c r="O40" s="18">
        <f>MIN(K40,Parâmetros!$B$8)*Parâmetros!$B$7</f>
        <v/>
      </c>
      <c r="P40" s="18">
        <f>IF(K40&lt;=Parâmetros!$B$33,0,MAX(0,(IF(MAX(0,K40-(MIN(K40,Parâmetros!$B$8)*Parâmetros!$B$7)-(IF(Parâmetros!$B$15=1,0,Parâmetros!$B$14)*Parâmetros!$B$10))&lt;=Parâmetros!$B$25,0,IF(MAX(0,K40-(MIN(K40,Parâmetros!$B$8)*Parâmetros!$B$7)-(IF(Parâmetros!$B$15=1,0,Parâmetros!$B$14)*Parâmetros!$B$10))&lt;=Parâmetros!$B$26,MAX(0,K40-(MIN(K40,Parâmetros!$B$8)*Parâmetros!$B$7)-(IF(Parâmetros!$B$15=1,0,Parâmetros!$B$14)*Parâmetros!$B$10))*0.075-Parâmetros!$B$29,IF(MAX(0,K40-(MIN(K40,Parâmetros!$B$8)*Parâmetros!$B$7)-(IF(Parâmetros!$B$15=1,0,Parâmetros!$B$14)*Parâmetros!$B$10))&lt;=Parâmetros!$B$27,MAX(0,K40-(MIN(K40,Parâmetros!$B$8)*Parâmetros!$B$7)-(IF(Parâmetros!$B$15=1,0,Parâmetros!$B$14)*Parâmetros!$B$10))*0.15-Parâmetros!$B$30,IF(MAX(0,K40-(MIN(K40,Parâmetros!$B$8)*Parâmetros!$B$7)-(IF(Parâmetros!$B$15=1,0,Parâmetros!$B$14)*Parâmetros!$B$10))&lt;=Parâmetros!$B$28,MAX(0,K40-(MIN(K40,Parâmetros!$B$8)*Parâmetros!$B$7)-(IF(Parâmetros!$B$15=1,0,Parâmetros!$B$14)*Parâmetros!$B$10))*0.225-Parâmetros!$B$31,MAX(0,K40-(MIN(K40,Parâmetros!$B$8)*Parâmetros!$B$7)-(IF(Parâmetros!$B$15=1,0,Parâmetros!$B$14)*Parâmetros!$B$10))*0.275-Parâmetros!$B$32)))))-IF(K40&lt;=Parâmetros!$B$34,Parâmetros!$B$35-Parâmetros!$B$36*K40,0)))</f>
        <v/>
      </c>
      <c r="Q40" s="18">
        <f>MAX(0,B40-N40-K40)</f>
        <v/>
      </c>
      <c r="R40" s="13">
        <f>B40-N40-O40-P40</f>
        <v/>
      </c>
      <c r="S40" s="23">
        <f>Parâmetros!$B$21</f>
        <v/>
      </c>
      <c r="T40" s="20">
        <f>IF(SUM(B29:B40)=0,0,SUM(S29:S40)/SUM(B29:B40))</f>
        <v/>
      </c>
      <c r="U40" s="21">
        <f>IF(T40&gt;=Parâmetros!$B$6,"III","V")</f>
        <v/>
      </c>
      <c r="V40" s="18">
        <f>IF(U40="III",B40*Parâmetros!$B$4,B40*Parâmetros!$B$5)</f>
        <v/>
      </c>
      <c r="W40" s="18">
        <f>MIN(S40,Parâmetros!$B$8)*Parâmetros!$B$7</f>
        <v/>
      </c>
      <c r="X40" s="18">
        <f>IF(S40&lt;=Parâmetros!$B$33,0,MAX(0,(IF(MAX(0,S40-(MIN(S40,Parâmetros!$B$8)*Parâmetros!$B$7)-(IF(Parâmetros!$B$15=1,0,Parâmetros!$B$14)*Parâmetros!$B$10))&lt;=Parâmetros!$B$25,0,IF(MAX(0,S40-(MIN(S40,Parâmetros!$B$8)*Parâmetros!$B$7)-(IF(Parâmetros!$B$15=1,0,Parâmetros!$B$14)*Parâmetros!$B$10))&lt;=Parâmetros!$B$26,MAX(0,S40-(MIN(S40,Parâmetros!$B$8)*Parâmetros!$B$7)-(IF(Parâmetros!$B$15=1,0,Parâmetros!$B$14)*Parâmetros!$B$10))*0.075-Parâmetros!$B$29,IF(MAX(0,S40-(MIN(S40,Parâmetros!$B$8)*Parâmetros!$B$7)-(IF(Parâmetros!$B$15=1,0,Parâmetros!$B$14)*Parâmetros!$B$10))&lt;=Parâmetros!$B$27,MAX(0,S40-(MIN(S40,Parâmetros!$B$8)*Parâmetros!$B$7)-(IF(Parâmetros!$B$15=1,0,Parâmetros!$B$14)*Parâmetros!$B$10))*0.15-Parâmetros!$B$30,IF(MAX(0,S40-(MIN(S40,Parâmetros!$B$8)*Parâmetros!$B$7)-(IF(Parâmetros!$B$15=1,0,Parâmetros!$B$14)*Parâmetros!$B$10))&lt;=Parâmetros!$B$28,MAX(0,S40-(MIN(S40,Parâmetros!$B$8)*Parâmetros!$B$7)-(IF(Parâmetros!$B$15=1,0,Parâmetros!$B$14)*Parâmetros!$B$10))*0.225-Parâmetros!$B$31,MAX(0,S40-(MIN(S40,Parâmetros!$B$8)*Parâmetros!$B$7)-(IF(Parâmetros!$B$15=1,0,Parâmetros!$B$14)*Parâmetros!$B$10))*0.275-Parâmetros!$B$32)))))-IF(S40&lt;=Parâmetros!$B$34,Parâmetros!$B$35-Parâmetros!$B$36*S40,0)))</f>
        <v/>
      </c>
      <c r="Y40" s="18">
        <f>MAX(0,B40-V40-S40)</f>
        <v/>
      </c>
      <c r="Z40" s="13">
        <f>B40-V40-W40-X40</f>
        <v/>
      </c>
    </row>
    <row r="42">
      <c r="A42" s="24" t="inlineStr">
        <is>
          <t>* Lucro isento (estimativa) = Receita − DAS − Pró-labore. Não considera outras despesas da empresa. Distribuição depende de lucro contábil real.</t>
        </is>
      </c>
    </row>
    <row r="43">
      <c r="A43" s="24" t="inlineStr">
        <is>
          <t>** Líquido familiar (lado PJ) = Receita − DAS − INSS pró-labore − IRRF pró-labore. Pró-labore e lucro ficam na família; só saem impostos. CLT é adicional (veja Comparativo).</t>
        </is>
      </c>
    </row>
  </sheetData>
  <mergeCells count="7">
    <mergeCell ref="C3:J3"/>
    <mergeCell ref="S3:Z3"/>
    <mergeCell ref="K3:R3"/>
    <mergeCell ref="A2:R2"/>
    <mergeCell ref="A1:R1"/>
    <mergeCell ref="A43:J43"/>
    <mergeCell ref="A42:J42"/>
  </mergeCells>
  <conditionalFormatting sqref="E5:E40">
    <cfRule type="cellIs" priority="1" operator="equal" dxfId="0">
      <formula>"III"</formula>
    </cfRule>
    <cfRule type="cellIs" priority="2" operator="equal" dxfId="1">
      <formula>"V"</formula>
    </cfRule>
  </conditionalFormatting>
  <conditionalFormatting sqref="M5:M40">
    <cfRule type="cellIs" priority="3" operator="equal" dxfId="0">
      <formula>"III"</formula>
    </cfRule>
    <cfRule type="cellIs" priority="4" operator="equal" dxfId="1">
      <formula>"V"</formula>
    </cfRule>
  </conditionalFormatting>
  <conditionalFormatting sqref="U5:U40">
    <cfRule type="cellIs" priority="5" operator="equal" dxfId="0">
      <formula>"III"</formula>
    </cfRule>
    <cfRule type="cellIs" priority="6" operator="equal" dxfId="1">
      <formula>"V"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18" customWidth="1" min="4" max="4"/>
  </cols>
  <sheetData>
    <row r="1">
      <c r="A1" s="1" t="inlineStr">
        <is>
          <t>Comparativo anual dos cenários</t>
        </is>
      </c>
    </row>
    <row r="2">
      <c r="A2" s="2" t="inlineStr">
        <is>
          <t>Totais agregados. Ano-calendário selecionável abaixo (impacta IR 2027 = ano 2026).</t>
        </is>
      </c>
    </row>
    <row r="4">
      <c r="A4" t="inlineStr">
        <is>
          <t>Ano para consolidar</t>
        </is>
      </c>
      <c r="B4" s="25" t="n">
        <v>2026</v>
      </c>
      <c r="C4" s="26" t="inlineStr">
        <is>
          <t>← altere para 2025, 2026 ou 2027</t>
        </is>
      </c>
    </row>
    <row r="6">
      <c r="A6" s="8" t="inlineStr">
        <is>
          <t>Indicador</t>
        </is>
      </c>
      <c r="B6" s="8" t="inlineStr">
        <is>
          <t>C1 — Atual</t>
        </is>
      </c>
      <c r="C6" s="8" t="inlineStr">
        <is>
          <t>C2 — Automático Fator R</t>
        </is>
      </c>
      <c r="D6" s="8" t="inlineStr">
        <is>
          <t>C3 — Manual</t>
        </is>
      </c>
    </row>
    <row r="7">
      <c r="A7" s="27" t="inlineStr">
        <is>
          <t>Receita bruta PJ</t>
        </is>
      </c>
      <c r="B7" s="18">
        <f>SUMPRODUCT((YEAR(Simulação!$A$5:$A$40)=B4)*(Simulação!B$5:B$40))</f>
        <v/>
      </c>
      <c r="C7" s="18">
        <f>SUMPRODUCT((YEAR(Simulação!$A$5:$A$40)=B4)*(Simulação!B$5:B$40))</f>
        <v/>
      </c>
      <c r="D7" s="18">
        <f>SUMPRODUCT((YEAR(Simulação!$A$5:$A$40)=B4)*(Simulação!B$5:B$40))</f>
        <v/>
      </c>
    </row>
    <row r="8">
      <c r="A8" s="27" t="inlineStr">
        <is>
          <t>Pró-labore total</t>
        </is>
      </c>
      <c r="B8" s="18">
        <f>SUMPRODUCT((YEAR(Simulação!$A$5:$A$40)=B4)*(Simulação!C$5:C$40))</f>
        <v/>
      </c>
      <c r="C8" s="18">
        <f>SUMPRODUCT((YEAR(Simulação!$A$5:$A$40)=B4)*(Simulação!K$5:K$40))</f>
        <v/>
      </c>
      <c r="D8" s="18">
        <f>SUMPRODUCT((YEAR(Simulação!$A$5:$A$40)=B4)*(Simulação!S$5:S$40))</f>
        <v/>
      </c>
    </row>
    <row r="9">
      <c r="A9" s="27" t="inlineStr">
        <is>
          <t>DAS total</t>
        </is>
      </c>
      <c r="B9" s="18">
        <f>SUMPRODUCT((YEAR(Simulação!$A$5:$A$40)=B4)*(Simulação!F$5:F$40))</f>
        <v/>
      </c>
      <c r="C9" s="18">
        <f>SUMPRODUCT((YEAR(Simulação!$A$5:$A$40)=B4)*(Simulação!N$5:N$40))</f>
        <v/>
      </c>
      <c r="D9" s="18">
        <f>SUMPRODUCT((YEAR(Simulação!$A$5:$A$40)=B4)*(Simulação!V$5:V$40))</f>
        <v/>
      </c>
    </row>
    <row r="10">
      <c r="A10" s="27" t="inlineStr">
        <is>
          <t>INSS pró-labore</t>
        </is>
      </c>
      <c r="B10" s="18">
        <f>SUMPRODUCT((YEAR(Simulação!$A$5:$A$40)=B4)*(Simulação!G$5:G$40))</f>
        <v/>
      </c>
      <c r="C10" s="18">
        <f>SUMPRODUCT((YEAR(Simulação!$A$5:$A$40)=B4)*(Simulação!O$5:O$40))</f>
        <v/>
      </c>
      <c r="D10" s="18">
        <f>SUMPRODUCT((YEAR(Simulação!$A$5:$A$40)=B4)*(Simulação!W$5:W$40))</f>
        <v/>
      </c>
    </row>
    <row r="11">
      <c r="A11" s="27" t="inlineStr">
        <is>
          <t>IRRF pró-labore</t>
        </is>
      </c>
      <c r="B11" s="18">
        <f>SUMPRODUCT((YEAR(Simulação!$A$5:$A$40)=B4)*(Simulação!H$5:H$40))</f>
        <v/>
      </c>
      <c r="C11" s="18">
        <f>SUMPRODUCT((YEAR(Simulação!$A$5:$A$40)=B4)*(Simulação!P$5:P$40))</f>
        <v/>
      </c>
      <c r="D11" s="18">
        <f>SUMPRODUCT((YEAR(Simulação!$A$5:$A$40)=B4)*(Simulação!X$5:X$40))</f>
        <v/>
      </c>
    </row>
    <row r="12">
      <c r="A12" s="27" t="inlineStr">
        <is>
          <t>Total impostos PJ+pró-labore</t>
        </is>
      </c>
      <c r="B12" s="28">
        <f>B9+B10+B11</f>
        <v/>
      </c>
      <c r="C12" s="28">
        <f>C9+C10+C11</f>
        <v/>
      </c>
      <c r="D12" s="28">
        <f>D9+D10+D11</f>
        <v/>
      </c>
    </row>
    <row r="13">
      <c r="A13" s="27" t="inlineStr">
        <is>
          <t>Lucro isento estimado</t>
        </is>
      </c>
      <c r="B13" s="18">
        <f>SUMPRODUCT((YEAR(Simulação!$A$5:$A$40)=B4)*(Simulação!I$5:I$40))</f>
        <v/>
      </c>
      <c r="C13" s="18">
        <f>SUMPRODUCT((YEAR(Simulação!$A$5:$A$40)=B4)*(Simulação!Q$5:Q$40))</f>
        <v/>
      </c>
      <c r="D13" s="18">
        <f>SUMPRODUCT((YEAR(Simulação!$A$5:$A$40)=B4)*(Simulação!Y$5:Y$40))</f>
        <v/>
      </c>
    </row>
    <row r="14">
      <c r="A14" s="27" t="inlineStr">
        <is>
          <t>Líquido familiar (lado PJ)</t>
        </is>
      </c>
      <c r="B14" s="28">
        <f>SUMPRODUCT((YEAR(Simulação!$A$5:$A$40)=B4)*(Simulação!J$5:J$40))</f>
        <v/>
      </c>
      <c r="C14" s="28">
        <f>SUMPRODUCT((YEAR(Simulação!$A$5:$A$40)=B4)*(Simulação!R$5:R$40))</f>
        <v/>
      </c>
      <c r="D14" s="28">
        <f>SUMPRODUCT((YEAR(Simulação!$A$5:$A$40)=B4)*(Simulação!Z$5:Z$40))</f>
        <v/>
      </c>
    </row>
    <row r="16">
      <c r="A16" s="3" t="inlineStr">
        <is>
          <t>Melhor cenário (menor total de impostos)</t>
        </is>
      </c>
      <c r="B16" s="29">
        <f>IF(AND(B12&lt;=C12,B12&lt;=D12),"C1",IF(C12&lt;=D12,"C2","C3"))</f>
        <v/>
      </c>
      <c r="C16" t="inlineStr">
        <is>
          <t>Economia de C2 vs C1</t>
        </is>
      </c>
      <c r="D16" s="30">
        <f>B12-C12</f>
        <v/>
      </c>
    </row>
    <row r="18">
      <c r="A18" s="3" t="inlineStr">
        <is>
          <t>CLT (você) — referência para IRPF</t>
        </is>
      </c>
    </row>
    <row r="19">
      <c r="A19" t="inlineStr">
        <is>
          <t>Meses trabalhados no ano</t>
        </is>
      </c>
      <c r="B19" s="31">
        <f>Parâmetros!B16</f>
        <v/>
      </c>
    </row>
    <row r="20">
      <c r="A20" t="inlineStr">
        <is>
          <t>CLT bruto no ano (sem 13º)</t>
        </is>
      </c>
      <c r="B20" s="18">
        <f>Parâmetros!B13*Parâmetros!B16</f>
        <v/>
      </c>
    </row>
    <row r="21">
      <c r="A21" t="inlineStr">
        <is>
          <t>13º estimado</t>
        </is>
      </c>
      <c r="B21" s="6">
        <f>Parâmetros!B13</f>
        <v/>
      </c>
    </row>
    <row r="22">
      <c r="A22" t="inlineStr">
        <is>
          <t>CLT bruto total ano (c/ 13º)</t>
        </is>
      </c>
      <c r="B22" s="18">
        <f>B20+B21</f>
        <v/>
      </c>
    </row>
    <row r="24">
      <c r="A24" s="3" t="inlineStr">
        <is>
          <t>IRPF 2027 (ano-calendário da célula B4)</t>
        </is>
      </c>
    </row>
    <row r="25">
      <c r="A25" t="inlineStr">
        <is>
          <t>Rendimentos tributáveis família (aprox.)</t>
        </is>
      </c>
    </row>
    <row r="26">
      <c r="A26" t="inlineStr">
        <is>
          <t>— CLT (você)</t>
        </is>
      </c>
      <c r="B26" s="18">
        <f>B22</f>
        <v/>
      </c>
    </row>
    <row r="27">
      <c r="A27" t="inlineStr">
        <is>
          <t>— Pró-labore (esposa) no cenário C2</t>
        </is>
      </c>
      <c r="B27" s="18">
        <f>C8</f>
        <v/>
      </c>
    </row>
    <row r="28">
      <c r="A28" t="inlineStr">
        <is>
          <t>— Lucros distribuídos (isentos, C2)</t>
        </is>
      </c>
      <c r="B28" s="30">
        <f>C13</f>
        <v/>
      </c>
    </row>
    <row r="29">
      <c r="A29" s="24" t="inlineStr">
        <is>
          <t>Obs.: cada cônjuge declara em separado. Lucros isentos vão na ficha de rendimentos isentos dela (ou do sócio titular).</t>
        </is>
      </c>
    </row>
    <row r="31">
      <c r="A31" s="3" t="inlineStr">
        <is>
          <t>Checklist com o contador</t>
        </is>
      </c>
    </row>
    <row r="32">
      <c r="A32" s="2" t="inlineStr">
        <is>
          <t>□ Confirmar RBT12 e folha 12 meses no PGDAS-D</t>
        </is>
      </c>
    </row>
    <row r="33">
      <c r="A33" s="2" t="inlineStr">
        <is>
          <t>□ Definir pró-labore do mês (usar coluna C2 da Simulação como piso)</t>
        </is>
      </c>
    </row>
    <row r="34">
      <c r="A34" s="2" t="inlineStr">
        <is>
          <t>□ Emitir guias: DAS + INSS código 1099 do pró-labore</t>
        </is>
      </c>
    </row>
    <row r="35">
      <c r="A35" s="2" t="inlineStr">
        <is>
          <t>□ Registrar distribuição de lucros com base no balancete</t>
        </is>
      </c>
    </row>
    <row r="36">
      <c r="A36" s="2" t="inlineStr">
        <is>
          <t>□ Informar dependentes no empregador CLT (você)</t>
        </is>
      </c>
    </row>
    <row r="37">
      <c r="A37" s="2" t="inlineStr">
        <is>
          <t>□ Guardar NFs, DAS, holérides e informes para DIRPF 2027</t>
        </is>
      </c>
    </row>
    <row r="40">
      <c r="A40" s="3" t="inlineStr">
        <is>
          <t>Empresas cadastradas na aba Notas</t>
        </is>
      </c>
    </row>
    <row r="41">
      <c r="A41" t="inlineStr">
        <is>
          <t>Empresa 1</t>
        </is>
      </c>
      <c r="B41" s="31">
        <f>Notas!B5</f>
        <v/>
      </c>
    </row>
    <row r="42">
      <c r="A42" t="inlineStr">
        <is>
          <t>Empresa 2</t>
        </is>
      </c>
      <c r="B42" s="31">
        <f>Notas!C5</f>
        <v/>
      </c>
    </row>
    <row r="43">
      <c r="A43" t="inlineStr">
        <is>
          <t>Empresa 3</t>
        </is>
      </c>
      <c r="B43" s="31">
        <f>Notas!D5</f>
        <v/>
      </c>
    </row>
    <row r="44">
      <c r="A44" t="inlineStr">
        <is>
          <t>Empresa 4</t>
        </is>
      </c>
      <c r="B44" s="31">
        <f>Notas!E5</f>
        <v/>
      </c>
    </row>
    <row r="45">
      <c r="A45" t="inlineStr">
        <is>
          <t>Empresa 5</t>
        </is>
      </c>
      <c r="B45" s="31">
        <f>Notas!F5</f>
        <v/>
      </c>
    </row>
  </sheetData>
  <mergeCells count="2">
    <mergeCell ref="A29:D29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20" customWidth="1" min="4" max="4"/>
  </cols>
  <sheetData>
    <row r="1">
      <c r="A1" s="1" t="inlineStr">
        <is>
          <t>Composição estimada do DAS (proporcional ao seu documento de 07/2026)</t>
        </is>
      </c>
    </row>
    <row r="2">
      <c r="A2" s="2" t="inlineStr">
        <is>
          <t>Usa o rateio do seu DAS de R$ 930 sobre R$ 15.500. É aproximação — o PGDAS oficial pode variar centavos/faixa.</t>
        </is>
      </c>
    </row>
    <row r="4">
      <c r="A4" t="inlineStr">
        <is>
          <t>Receita do mês (escolher)</t>
        </is>
      </c>
      <c r="B4" s="6" t="n">
        <v>26000</v>
      </c>
    </row>
    <row r="5">
      <c r="A5" t="inlineStr">
        <is>
          <t>Anexo aplicado</t>
        </is>
      </c>
      <c r="B5" s="7" t="inlineStr">
        <is>
          <t>III</t>
        </is>
      </c>
    </row>
    <row r="6">
      <c r="A6" t="inlineStr">
        <is>
          <t>DAS estimado</t>
        </is>
      </c>
      <c r="B6" s="18">
        <f>IF(B5="III",B4*Parâmetros!B4,B4*Parâmetros!B5)</f>
        <v/>
      </c>
    </row>
    <row r="8">
      <c r="A8" s="8" t="inlineStr">
        <is>
          <t>Tributo</t>
        </is>
      </c>
      <c r="B8" s="8" t="inlineStr">
        <is>
          <t>Partilha no DAS atual</t>
        </is>
      </c>
      <c r="C8" s="8" t="inlineStr">
        <is>
          <t>% do DAS</t>
        </is>
      </c>
      <c r="D8" s="8" t="inlineStr">
        <is>
          <t>Valor estimado no mês</t>
        </is>
      </c>
    </row>
    <row r="9">
      <c r="A9" s="32" t="inlineStr">
        <is>
          <t>IRPJ (1001)</t>
        </is>
      </c>
      <c r="B9" s="6" t="n">
        <v>37.2</v>
      </c>
      <c r="C9" s="20">
        <f>B9/SUM($B$9:$B$14)</f>
        <v/>
      </c>
      <c r="D9" s="18">
        <f>$B$6*C9</f>
        <v/>
      </c>
    </row>
    <row r="10">
      <c r="A10" s="32" t="inlineStr">
        <is>
          <t>CSLL (1002)</t>
        </is>
      </c>
      <c r="B10" s="6" t="n">
        <v>32.55</v>
      </c>
      <c r="C10" s="20">
        <f>B10/SUM($B$9:$B$14)</f>
        <v/>
      </c>
      <c r="D10" s="18">
        <f>$B$6*C10</f>
        <v/>
      </c>
    </row>
    <row r="11">
      <c r="A11" s="32" t="inlineStr">
        <is>
          <t>COFINS (1004)</t>
        </is>
      </c>
      <c r="B11" s="6" t="n">
        <v>119.23</v>
      </c>
      <c r="C11" s="20">
        <f>B11/SUM($B$9:$B$14)</f>
        <v/>
      </c>
      <c r="D11" s="18">
        <f>$B$6*C11</f>
        <v/>
      </c>
    </row>
    <row r="12">
      <c r="A12" s="32" t="inlineStr">
        <is>
          <t>PIS/Pasep (1005)</t>
        </is>
      </c>
      <c r="B12" s="6" t="n">
        <v>25.85</v>
      </c>
      <c r="C12" s="20">
        <f>B12/SUM($B$9:$B$14)</f>
        <v/>
      </c>
      <c r="D12" s="18">
        <f>$B$6*C12</f>
        <v/>
      </c>
    </row>
    <row r="13">
      <c r="A13" s="32" t="inlineStr">
        <is>
          <t>INSS patronal no DAS (1006)</t>
        </is>
      </c>
      <c r="B13" s="6" t="n">
        <v>403.62</v>
      </c>
      <c r="C13" s="20">
        <f>B13/SUM($B$9:$B$14)</f>
        <v/>
      </c>
      <c r="D13" s="18">
        <f>$B$6*C13</f>
        <v/>
      </c>
    </row>
    <row r="14">
      <c r="A14" s="32" t="inlineStr">
        <is>
          <t>ISS Brasília-DF (1010)</t>
        </is>
      </c>
      <c r="B14" s="6" t="n">
        <v>311.55</v>
      </c>
      <c r="C14" s="20">
        <f>B14/SUM($B$9:$B$14)</f>
        <v/>
      </c>
      <c r="D14" s="18">
        <f>$B$6*C14</f>
        <v/>
      </c>
    </row>
    <row r="16">
      <c r="A16" t="inlineStr">
        <is>
          <t>Total</t>
        </is>
      </c>
      <c r="D16" s="33">
        <f>SUM(D9:D14)</f>
        <v/>
      </c>
    </row>
    <row r="18">
      <c r="A18" s="3" t="inlineStr">
        <is>
          <t>INSS do pró-labore (guia separada — código 1099)</t>
        </is>
      </c>
    </row>
    <row r="19">
      <c r="A19" t="inlineStr">
        <is>
          <t>Pró-labore do mês</t>
        </is>
      </c>
      <c r="B19" s="6" t="n">
        <v>7280</v>
      </c>
    </row>
    <row r="20">
      <c r="A20" t="inlineStr">
        <is>
          <t>INSS 11% (código 1099)</t>
        </is>
      </c>
      <c r="B20" s="18">
        <f>MIN(B19,Parâmetros!B8)*Parâmetros!B7</f>
        <v/>
      </c>
    </row>
    <row r="21">
      <c r="A21" t="inlineStr">
        <is>
          <t>IRRF pró-labore estimado</t>
        </is>
      </c>
      <c r="B21" s="18">
        <f>IF(B19&lt;=Parâmetros!$B$33,0,MAX(0,(IF(MAX(0,B19-(MIN(B19,Parâmetros!$B$8)*Parâmetros!$B$7)-(IF(Parâmetros!$B$15=1,0,Parâmetros!$B$14)*Parâmetros!$B$10))&lt;=Parâmetros!$B$25,0,IF(MAX(0,B19-(MIN(B19,Parâmetros!$B$8)*Parâmetros!$B$7)-(IF(Parâmetros!$B$15=1,0,Parâmetros!$B$14)*Parâmetros!$B$10))&lt;=Parâmetros!$B$26,MAX(0,B19-(MIN(B19,Parâmetros!$B$8)*Parâmetros!$B$7)-(IF(Parâmetros!$B$15=1,0,Parâmetros!$B$14)*Parâmetros!$B$10))*0.075-Parâmetros!$B$29,IF(MAX(0,B19-(MIN(B19,Parâmetros!$B$8)*Parâmetros!$B$7)-(IF(Parâmetros!$B$15=1,0,Parâmetros!$B$14)*Parâmetros!$B$10))&lt;=Parâmetros!$B$27,MAX(0,B19-(MIN(B19,Parâmetros!$B$8)*Parâmetros!$B$7)-(IF(Parâmetros!$B$15=1,0,Parâmetros!$B$14)*Parâmetros!$B$10))*0.15-Parâmetros!$B$30,IF(MAX(0,B19-(MIN(B19,Parâmetros!$B$8)*Parâmetros!$B$7)-(IF(Parâmetros!$B$15=1,0,Parâmetros!$B$14)*Parâmetros!$B$10))&lt;=Parâmetros!$B$28,MAX(0,B19-(MIN(B19,Parâmetros!$B$8)*Parâmetros!$B$7)-(IF(Parâmetros!$B$15=1,0,Parâmetros!$B$14)*Parâmetros!$B$10))*0.225-Parâmetros!$B$31,MAX(0,B19-(MIN(B19,Parâmetros!$B$8)*Parâmetros!$B$7)-(IF(Parâmetros!$B$15=1,0,Parâmetros!$B$14)*Parâmetros!$B$10))*0.275-Parâmetros!$B$32)))))-IF(B19&lt;=Parâmetros!$B$34,Parâmetros!$B$35-Parâmetros!$B$36*B19,0)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2026-08-08T12:43:42Z</dcterms:created>
  <dcterms:modified xsi:type="dcterms:W3CDTF">2026-08-08T12:44:17Z</dcterms:modified>
</cp:coreProperties>
</file>